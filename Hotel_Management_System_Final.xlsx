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drawings/drawing1.xml" ContentType="application/vnd.openxmlformats-officedocument.drawing+xml"/>
  <Override PartName="/xl/tables/table5.xml" ContentType="application/vnd.openxmlformats-officedocument.spreadsheetml.table+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1.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3.xml" ContentType="application/vnd.openxmlformats-officedocument.drawing+xml"/>
  <Override PartName="/xl/slicers/slicer3.xml" ContentType="application/vnd.ms-excel.slicer+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hidePivotFieldList="1"/>
  <mc:AlternateContent xmlns:mc="http://schemas.openxmlformats.org/markup-compatibility/2006">
    <mc:Choice Requires="x15">
      <x15ac:absPath xmlns:x15ac="http://schemas.microsoft.com/office/spreadsheetml/2010/11/ac" url="C:\Users\rajas\Downloads\"/>
    </mc:Choice>
  </mc:AlternateContent>
  <xr:revisionPtr revIDLastSave="0" documentId="13_ncr:1_{67A4F841-1E31-4C46-A6E3-5FBE7CBAE107}" xr6:coauthVersionLast="47" xr6:coauthVersionMax="47" xr10:uidLastSave="{00000000-0000-0000-0000-000000000000}"/>
  <bookViews>
    <workbookView xWindow="-108" yWindow="-108" windowWidth="23256" windowHeight="12456" activeTab="2" xr2:uid="{00000000-000D-0000-FFFF-FFFF00000000}"/>
  </bookViews>
  <sheets>
    <sheet name="Bookings Data" sheetId="3" r:id="rId1"/>
    <sheet name="Pivot &amp; Summary Analysis" sheetId="2" r:id="rId2"/>
    <sheet name="Dashboard" sheetId="1" r:id="rId3"/>
    <sheet name="Sheet2" sheetId="7" r:id="rId4"/>
    <sheet name="Sheet1" sheetId="4" r:id="rId5"/>
    <sheet name="Sheet3" sheetId="6" r:id="rId6"/>
  </sheets>
  <definedNames>
    <definedName name="Slicer_Nights">#N/A</definedName>
    <definedName name="Slicer_Room_Rate">#N/A</definedName>
    <definedName name="Slicer_Room_Type">#N/A</definedName>
    <definedName name="Slicer_Total_Bookings">#N/A</definedName>
  </definedNames>
  <calcPr calcId="191029"/>
  <pivotCaches>
    <pivotCache cacheId="0" r:id="rId7"/>
    <pivotCache cacheId="7" r:id="rId8"/>
  </pivotCaches>
  <extLst>
    <ext xmlns:x14="http://schemas.microsoft.com/office/spreadsheetml/2009/9/main" uri="{BBE1A952-AA13-448e-AADC-164F8A28A991}">
      <x14:slicerCaches>
        <x14:slicerCache r:id="rId9"/>
        <x14:slicerCache r:id="rId10"/>
        <x14:slicerCache r:id="rId11"/>
        <x14:slicerCache r:id="rId12"/>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40" i="2" l="1"/>
  <c r="A37" i="2"/>
  <c r="A34" i="2"/>
  <c r="J501" i="3" l="1"/>
  <c r="J500" i="3"/>
  <c r="J499" i="3"/>
  <c r="J498" i="3"/>
  <c r="J497" i="3"/>
  <c r="J496" i="3"/>
  <c r="J495" i="3"/>
  <c r="J494" i="3"/>
  <c r="J493" i="3"/>
  <c r="J492" i="3"/>
  <c r="J491" i="3"/>
  <c r="J490" i="3"/>
  <c r="J489" i="3"/>
  <c r="J488" i="3"/>
  <c r="J487" i="3"/>
  <c r="J486" i="3"/>
  <c r="J485" i="3"/>
  <c r="J484" i="3"/>
  <c r="J483" i="3"/>
  <c r="J482" i="3"/>
  <c r="J481" i="3"/>
  <c r="J480" i="3"/>
  <c r="J479" i="3"/>
  <c r="J478" i="3"/>
  <c r="J477" i="3"/>
  <c r="J476" i="3"/>
  <c r="J475" i="3"/>
  <c r="J474" i="3"/>
  <c r="J473" i="3"/>
  <c r="J472" i="3"/>
  <c r="J471" i="3"/>
  <c r="J470" i="3"/>
  <c r="J469" i="3"/>
  <c r="J468" i="3"/>
  <c r="J467" i="3"/>
  <c r="J466" i="3"/>
  <c r="J465" i="3"/>
  <c r="J464" i="3"/>
  <c r="J463" i="3"/>
  <c r="J462" i="3"/>
  <c r="J461" i="3"/>
  <c r="J460" i="3"/>
  <c r="J459" i="3"/>
  <c r="J458" i="3"/>
  <c r="J457" i="3"/>
  <c r="J456" i="3"/>
  <c r="J455" i="3"/>
  <c r="J454" i="3"/>
  <c r="J453" i="3"/>
  <c r="J452" i="3"/>
  <c r="J451" i="3"/>
  <c r="J450" i="3"/>
  <c r="J449" i="3"/>
  <c r="J448" i="3"/>
  <c r="J447" i="3"/>
  <c r="J446" i="3"/>
  <c r="J445" i="3"/>
  <c r="J444" i="3"/>
  <c r="J443" i="3"/>
  <c r="J442" i="3"/>
  <c r="J441" i="3"/>
  <c r="J440" i="3"/>
  <c r="J439" i="3"/>
  <c r="J438" i="3"/>
  <c r="J437" i="3"/>
  <c r="J436" i="3"/>
  <c r="J435" i="3"/>
  <c r="J434" i="3"/>
  <c r="J433" i="3"/>
  <c r="J432" i="3"/>
  <c r="J431" i="3"/>
  <c r="J430" i="3"/>
  <c r="J429" i="3"/>
  <c r="J428" i="3"/>
  <c r="J427" i="3"/>
  <c r="J426" i="3"/>
  <c r="J425" i="3"/>
  <c r="J424" i="3"/>
  <c r="J423" i="3"/>
  <c r="J422" i="3"/>
  <c r="J421" i="3"/>
  <c r="J420" i="3"/>
  <c r="J419" i="3"/>
  <c r="J418" i="3"/>
  <c r="J417" i="3"/>
  <c r="J416" i="3"/>
  <c r="J415" i="3"/>
  <c r="J414" i="3"/>
  <c r="J413" i="3"/>
  <c r="J412" i="3"/>
  <c r="J411" i="3"/>
  <c r="J410" i="3"/>
  <c r="J409" i="3"/>
  <c r="J408" i="3"/>
  <c r="J407" i="3"/>
  <c r="J406" i="3"/>
  <c r="J405" i="3"/>
  <c r="J404" i="3"/>
  <c r="J403" i="3"/>
  <c r="J402" i="3"/>
  <c r="J401" i="3"/>
  <c r="J400" i="3"/>
  <c r="J399" i="3"/>
  <c r="J398" i="3"/>
  <c r="J397" i="3"/>
  <c r="J396" i="3"/>
  <c r="J395" i="3"/>
  <c r="J394" i="3"/>
  <c r="J393" i="3"/>
  <c r="J392" i="3"/>
  <c r="J391" i="3"/>
  <c r="J390" i="3"/>
  <c r="J389" i="3"/>
  <c r="J388" i="3"/>
  <c r="J387" i="3"/>
  <c r="J386" i="3"/>
  <c r="J385" i="3"/>
  <c r="J384" i="3"/>
  <c r="J383" i="3"/>
  <c r="J382" i="3"/>
  <c r="J381" i="3"/>
  <c r="J380" i="3"/>
  <c r="J379" i="3"/>
  <c r="J378" i="3"/>
  <c r="J377" i="3"/>
  <c r="J376" i="3"/>
  <c r="J375" i="3"/>
  <c r="J374" i="3"/>
  <c r="J373" i="3"/>
  <c r="J372" i="3"/>
  <c r="J371" i="3"/>
  <c r="J370" i="3"/>
  <c r="J369" i="3"/>
  <c r="J368" i="3"/>
  <c r="J367" i="3"/>
  <c r="J366" i="3"/>
  <c r="J365" i="3"/>
  <c r="J364" i="3"/>
  <c r="J363" i="3"/>
  <c r="J362" i="3"/>
  <c r="J361" i="3"/>
  <c r="J360" i="3"/>
  <c r="J359" i="3"/>
  <c r="J358" i="3"/>
  <c r="J357" i="3"/>
  <c r="J356" i="3"/>
  <c r="J355" i="3"/>
  <c r="J354" i="3"/>
  <c r="J353" i="3"/>
  <c r="J352" i="3"/>
  <c r="J351" i="3"/>
  <c r="J350" i="3"/>
  <c r="J349" i="3"/>
  <c r="J348" i="3"/>
  <c r="J347" i="3"/>
  <c r="J346" i="3"/>
  <c r="J345" i="3"/>
  <c r="J344" i="3"/>
  <c r="J343" i="3"/>
  <c r="J342" i="3"/>
  <c r="J341" i="3"/>
  <c r="J340" i="3"/>
  <c r="J339" i="3"/>
  <c r="J338" i="3"/>
  <c r="J337" i="3"/>
  <c r="J336" i="3"/>
  <c r="J335" i="3"/>
  <c r="J334" i="3"/>
  <c r="J333" i="3"/>
  <c r="J332" i="3"/>
  <c r="J331" i="3"/>
  <c r="J330" i="3"/>
  <c r="J329" i="3"/>
  <c r="J328" i="3"/>
  <c r="J327" i="3"/>
  <c r="J326" i="3"/>
  <c r="J325" i="3"/>
  <c r="J324" i="3"/>
  <c r="J323" i="3"/>
  <c r="J322" i="3"/>
  <c r="J321" i="3"/>
  <c r="J320" i="3"/>
  <c r="J319" i="3"/>
  <c r="J318" i="3"/>
  <c r="J317" i="3"/>
  <c r="J316" i="3"/>
  <c r="J315" i="3"/>
  <c r="J314" i="3"/>
  <c r="J313" i="3"/>
  <c r="J312" i="3"/>
  <c r="J311" i="3"/>
  <c r="J310" i="3"/>
  <c r="J309" i="3"/>
  <c r="J308" i="3"/>
  <c r="J307" i="3"/>
  <c r="J306" i="3"/>
  <c r="J305" i="3"/>
  <c r="J304" i="3"/>
  <c r="J303" i="3"/>
  <c r="J302" i="3"/>
  <c r="J301" i="3"/>
  <c r="J300" i="3"/>
  <c r="J299" i="3"/>
  <c r="J298" i="3"/>
  <c r="J297" i="3"/>
  <c r="J296" i="3"/>
  <c r="J295" i="3"/>
  <c r="J294" i="3"/>
  <c r="J293" i="3"/>
  <c r="J292" i="3"/>
  <c r="J291" i="3"/>
  <c r="J290" i="3"/>
  <c r="J289" i="3"/>
  <c r="J288" i="3"/>
  <c r="J287" i="3"/>
  <c r="J286" i="3"/>
  <c r="J285" i="3"/>
  <c r="J284" i="3"/>
  <c r="J283" i="3"/>
  <c r="J282" i="3"/>
  <c r="J281" i="3"/>
  <c r="J280" i="3"/>
  <c r="J279" i="3"/>
  <c r="J278" i="3"/>
  <c r="J277" i="3"/>
  <c r="J276" i="3"/>
  <c r="J275" i="3"/>
  <c r="J274" i="3"/>
  <c r="J273" i="3"/>
  <c r="J272" i="3"/>
  <c r="J271" i="3"/>
  <c r="J270" i="3"/>
  <c r="J269" i="3"/>
  <c r="J268" i="3"/>
  <c r="J267" i="3"/>
  <c r="J266" i="3"/>
  <c r="J265" i="3"/>
  <c r="J264" i="3"/>
  <c r="J263" i="3"/>
  <c r="J262" i="3"/>
  <c r="J261" i="3"/>
  <c r="J260" i="3"/>
  <c r="J259" i="3"/>
  <c r="J258" i="3"/>
  <c r="J257" i="3"/>
  <c r="J256" i="3"/>
  <c r="J255" i="3"/>
  <c r="J254" i="3"/>
  <c r="J253" i="3"/>
  <c r="J252" i="3"/>
  <c r="J251" i="3"/>
  <c r="J250" i="3"/>
  <c r="J249" i="3"/>
  <c r="J248" i="3"/>
  <c r="J247" i="3"/>
  <c r="J246" i="3"/>
  <c r="J245" i="3"/>
  <c r="J244" i="3"/>
  <c r="J243" i="3"/>
  <c r="J242" i="3"/>
  <c r="J241" i="3"/>
  <c r="J240" i="3"/>
  <c r="J239" i="3"/>
  <c r="J238" i="3"/>
  <c r="J237" i="3"/>
  <c r="J236" i="3"/>
  <c r="J235" i="3"/>
  <c r="J234" i="3"/>
  <c r="J233" i="3"/>
  <c r="J232" i="3"/>
  <c r="J231" i="3"/>
  <c r="J230" i="3"/>
  <c r="J229" i="3"/>
  <c r="J228" i="3"/>
  <c r="J227" i="3"/>
  <c r="J226" i="3"/>
  <c r="J225" i="3"/>
  <c r="J224" i="3"/>
  <c r="J223" i="3"/>
  <c r="J222" i="3"/>
  <c r="J221" i="3"/>
  <c r="J220" i="3"/>
  <c r="J219" i="3"/>
  <c r="J218" i="3"/>
  <c r="J217" i="3"/>
  <c r="J216" i="3"/>
  <c r="J215" i="3"/>
  <c r="J214" i="3"/>
  <c r="J213" i="3"/>
  <c r="J212" i="3"/>
  <c r="J211" i="3"/>
  <c r="J210" i="3"/>
  <c r="J209" i="3"/>
  <c r="J208" i="3"/>
  <c r="J207" i="3"/>
  <c r="J206" i="3"/>
  <c r="J205" i="3"/>
  <c r="J204" i="3"/>
  <c r="J203" i="3"/>
  <c r="J202" i="3"/>
  <c r="J201" i="3"/>
  <c r="J200" i="3"/>
  <c r="J199" i="3"/>
  <c r="J198" i="3"/>
  <c r="J197" i="3"/>
  <c r="J196" i="3"/>
  <c r="J195" i="3"/>
  <c r="J194" i="3"/>
  <c r="J193" i="3"/>
  <c r="J192" i="3"/>
  <c r="J191" i="3"/>
  <c r="J190" i="3"/>
  <c r="J189" i="3"/>
  <c r="J188" i="3"/>
  <c r="J187" i="3"/>
  <c r="J186" i="3"/>
  <c r="J185" i="3"/>
  <c r="J184" i="3"/>
  <c r="J183" i="3"/>
  <c r="J182" i="3"/>
  <c r="J181" i="3"/>
  <c r="J180" i="3"/>
  <c r="J179" i="3"/>
  <c r="J178" i="3"/>
  <c r="J177" i="3"/>
  <c r="J176" i="3"/>
  <c r="J175" i="3"/>
  <c r="J174" i="3"/>
  <c r="J173" i="3"/>
  <c r="J172" i="3"/>
  <c r="J171" i="3"/>
  <c r="J170" i="3"/>
  <c r="J169" i="3"/>
  <c r="J168" i="3"/>
  <c r="J167" i="3"/>
  <c r="J166" i="3"/>
  <c r="J165" i="3"/>
  <c r="J164" i="3"/>
  <c r="J163" i="3"/>
  <c r="J162" i="3"/>
  <c r="J161" i="3"/>
  <c r="J160" i="3"/>
  <c r="J159" i="3"/>
  <c r="J158" i="3"/>
  <c r="J157" i="3"/>
  <c r="J156" i="3"/>
  <c r="J155" i="3"/>
  <c r="J154" i="3"/>
  <c r="J153" i="3"/>
  <c r="J152" i="3"/>
  <c r="J151" i="3"/>
  <c r="J150" i="3"/>
  <c r="J149" i="3"/>
  <c r="J148" i="3"/>
  <c r="J147" i="3"/>
  <c r="J146" i="3"/>
  <c r="J145" i="3"/>
  <c r="J144" i="3"/>
  <c r="J143" i="3"/>
  <c r="J142" i="3"/>
  <c r="J141" i="3"/>
  <c r="J140" i="3"/>
  <c r="J139" i="3"/>
  <c r="J138" i="3"/>
  <c r="J137" i="3"/>
  <c r="J136" i="3"/>
  <c r="J135" i="3"/>
  <c r="J134" i="3"/>
  <c r="J133" i="3"/>
  <c r="J132" i="3"/>
  <c r="J131" i="3"/>
  <c r="J130" i="3"/>
  <c r="J129" i="3"/>
  <c r="J128" i="3"/>
  <c r="J127" i="3"/>
  <c r="J126" i="3"/>
  <c r="J125" i="3"/>
  <c r="J124" i="3"/>
  <c r="J123" i="3"/>
  <c r="J122" i="3"/>
  <c r="J121" i="3"/>
  <c r="J120" i="3"/>
  <c r="J119" i="3"/>
  <c r="J118" i="3"/>
  <c r="J117" i="3"/>
  <c r="J116" i="3"/>
  <c r="J115" i="3"/>
  <c r="J114" i="3"/>
  <c r="J113" i="3"/>
  <c r="J112" i="3"/>
  <c r="J111" i="3"/>
  <c r="J110" i="3"/>
  <c r="J109" i="3"/>
  <c r="J108" i="3"/>
  <c r="J107" i="3"/>
  <c r="J106" i="3"/>
  <c r="J105" i="3"/>
  <c r="J104" i="3"/>
  <c r="J103" i="3"/>
  <c r="J102" i="3"/>
  <c r="J101" i="3"/>
  <c r="J100" i="3"/>
  <c r="J99" i="3"/>
  <c r="J98" i="3"/>
  <c r="J97" i="3"/>
  <c r="J96" i="3"/>
  <c r="J95" i="3"/>
  <c r="J94" i="3"/>
  <c r="J93" i="3"/>
  <c r="J92" i="3"/>
  <c r="J91" i="3"/>
  <c r="J90" i="3"/>
  <c r="J89" i="3"/>
  <c r="J88" i="3"/>
  <c r="J87" i="3"/>
  <c r="J86" i="3"/>
  <c r="J85" i="3"/>
  <c r="J84" i="3"/>
  <c r="J83" i="3"/>
  <c r="E5" i="2" s="1"/>
  <c r="J82" i="3"/>
  <c r="J81" i="3"/>
  <c r="J80" i="3"/>
  <c r="J79" i="3"/>
  <c r="J78" i="3"/>
  <c r="J77" i="3"/>
  <c r="J76" i="3"/>
  <c r="J75" i="3"/>
  <c r="J74" i="3"/>
  <c r="J73" i="3"/>
  <c r="J72" i="3"/>
  <c r="J71" i="3"/>
  <c r="J70" i="3"/>
  <c r="J69" i="3"/>
  <c r="J68" i="3"/>
  <c r="J67" i="3"/>
  <c r="J66" i="3"/>
  <c r="J65" i="3"/>
  <c r="J64" i="3"/>
  <c r="J63" i="3"/>
  <c r="J62" i="3"/>
  <c r="J61" i="3"/>
  <c r="J60" i="3"/>
  <c r="J59" i="3"/>
  <c r="J58" i="3"/>
  <c r="J57" i="3"/>
  <c r="J56" i="3"/>
  <c r="J55" i="3"/>
  <c r="J54" i="3"/>
  <c r="J53" i="3"/>
  <c r="J52" i="3"/>
  <c r="J51" i="3"/>
  <c r="J50" i="3"/>
  <c r="J49" i="3"/>
  <c r="J48" i="3"/>
  <c r="J47" i="3"/>
  <c r="J46" i="3"/>
  <c r="J45" i="3"/>
  <c r="J44" i="3"/>
  <c r="J43" i="3"/>
  <c r="J42" i="3"/>
  <c r="J41" i="3"/>
  <c r="J40" i="3"/>
  <c r="J39" i="3"/>
  <c r="J38" i="3"/>
  <c r="J37" i="3"/>
  <c r="J36" i="3"/>
  <c r="J35" i="3"/>
  <c r="J34" i="3"/>
  <c r="J33" i="3"/>
  <c r="J32" i="3"/>
  <c r="J31" i="3"/>
  <c r="J30" i="3"/>
  <c r="J29" i="3"/>
  <c r="J28" i="3"/>
  <c r="J27" i="3"/>
  <c r="J26" i="3"/>
  <c r="J25" i="3"/>
  <c r="J24" i="3"/>
  <c r="J23" i="3"/>
  <c r="J22" i="3"/>
  <c r="J21" i="3"/>
  <c r="J20" i="3"/>
  <c r="J19" i="3"/>
  <c r="J18" i="3"/>
  <c r="J17" i="3"/>
  <c r="J16" i="3"/>
  <c r="J15" i="3"/>
  <c r="J14" i="3"/>
  <c r="J13" i="3"/>
  <c r="J12" i="3"/>
  <c r="J11" i="3"/>
  <c r="A43" i="2" s="1" a="1"/>
  <c r="A43" i="2" s="1"/>
  <c r="J10" i="3"/>
  <c r="J9" i="3"/>
  <c r="J8" i="3"/>
  <c r="J7" i="3"/>
  <c r="J6" i="3"/>
  <c r="J5" i="3"/>
  <c r="J4" i="3"/>
  <c r="J3" i="3"/>
  <c r="J2" i="3"/>
  <c r="D31" i="2"/>
  <c r="C31" i="2"/>
  <c r="B31" i="2"/>
  <c r="D30" i="2"/>
  <c r="C30" i="2"/>
  <c r="B30" i="2"/>
  <c r="D28" i="2"/>
  <c r="C28" i="2"/>
  <c r="B28" i="2"/>
  <c r="B22" i="2"/>
  <c r="G49" i="1" s="1"/>
  <c r="B21" i="2"/>
  <c r="G48" i="1" s="1"/>
  <c r="B20" i="2"/>
  <c r="B19" i="2"/>
  <c r="G46" i="1" s="1"/>
  <c r="B18" i="2"/>
  <c r="B17" i="2"/>
  <c r="G44" i="1" s="1"/>
  <c r="D9" i="2"/>
  <c r="C9" i="2"/>
  <c r="B9" i="2"/>
  <c r="D8" i="2"/>
  <c r="C8" i="2"/>
  <c r="B8" i="2"/>
  <c r="B47" i="1" s="1"/>
  <c r="D7" i="2"/>
  <c r="C7" i="2"/>
  <c r="B7" i="2"/>
  <c r="B46" i="1" s="1"/>
  <c r="D6" i="2"/>
  <c r="C6" i="2"/>
  <c r="B6" i="2"/>
  <c r="B45" i="1" s="1"/>
  <c r="D5" i="2"/>
  <c r="C5" i="2"/>
  <c r="B5" i="2"/>
  <c r="B44" i="1" s="1"/>
  <c r="F49" i="1"/>
  <c r="F48" i="1"/>
  <c r="A48" i="1"/>
  <c r="G47" i="1"/>
  <c r="F47" i="1"/>
  <c r="A47" i="1"/>
  <c r="F46" i="1"/>
  <c r="A46" i="1"/>
  <c r="G45" i="1"/>
  <c r="F45" i="1"/>
  <c r="A45" i="1"/>
  <c r="F44" i="1"/>
  <c r="A44" i="1"/>
  <c r="D3" i="1"/>
  <c r="B3" i="1"/>
  <c r="C18" i="2" l="1"/>
  <c r="H45" i="1" s="1"/>
  <c r="B12" i="2"/>
  <c r="E46" i="1" s="1"/>
  <c r="D10" i="2"/>
  <c r="F2" i="1" s="1"/>
  <c r="B10" i="2"/>
  <c r="B2" i="1" s="1"/>
  <c r="C12" i="2"/>
  <c r="B23" i="2"/>
  <c r="C29" i="2"/>
  <c r="H3" i="1" s="1"/>
  <c r="C10" i="2"/>
  <c r="H2" i="1" s="1"/>
  <c r="D11" i="2"/>
  <c r="D29" i="2"/>
  <c r="C22" i="2"/>
  <c r="D22" i="2" s="1"/>
  <c r="C20" i="2"/>
  <c r="D20" i="2" s="1"/>
  <c r="E6" i="2"/>
  <c r="C17" i="2"/>
  <c r="D17" i="2" s="1"/>
  <c r="E9" i="2"/>
  <c r="E7" i="2"/>
  <c r="C46" i="1" s="1"/>
  <c r="E8" i="2"/>
  <c r="C47" i="1" s="1"/>
  <c r="E48" i="1"/>
  <c r="E47" i="1"/>
  <c r="D12" i="2"/>
  <c r="C21" i="2"/>
  <c r="B48" i="1"/>
  <c r="B11" i="2"/>
  <c r="C44" i="1"/>
  <c r="C11" i="2"/>
  <c r="C19" i="2"/>
  <c r="B29" i="2"/>
  <c r="F3" i="1" s="1"/>
  <c r="D18" i="2" l="1"/>
  <c r="E45" i="1"/>
  <c r="E44" i="1"/>
  <c r="E10" i="2"/>
  <c r="F8" i="2" s="1"/>
  <c r="D2" i="1"/>
  <c r="F5" i="2"/>
  <c r="F6" i="2"/>
  <c r="C48" i="1"/>
  <c r="H44" i="1"/>
  <c r="E12" i="2"/>
  <c r="E11" i="2"/>
  <c r="H47" i="1"/>
  <c r="H49" i="1"/>
  <c r="C45" i="1"/>
  <c r="H48" i="1"/>
  <c r="D21" i="2"/>
  <c r="D19" i="2"/>
  <c r="H46" i="1"/>
  <c r="D48" i="1"/>
  <c r="D47" i="1"/>
  <c r="D46" i="1"/>
  <c r="D45" i="1"/>
  <c r="D44" i="1"/>
  <c r="C23" i="2"/>
  <c r="D23" i="2" s="1"/>
  <c r="F7" i="2" l="1"/>
  <c r="F9" i="2"/>
  <c r="F10" i="2" s="1"/>
  <c r="F12" i="2" l="1"/>
  <c r="F11" i="2"/>
</calcChain>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<sst xmlns="http://schemas.openxmlformats.org/spreadsheetml/2006/main" count="3102" uniqueCount="783">
  <si>
    <t>🏨 EXECUTIVE HOTEL MANAGEMENT DASHBOARD</t>
  </si>
  <si>
    <t>TOTAL BOOKINGS</t>
  </si>
  <si>
    <t>TOTAL REVENUE ($)</t>
  </si>
  <si>
    <t>AVERAGE DAILY RATE ($)</t>
  </si>
  <si>
    <t>TOTAL NIGHTS BOOKED</t>
  </si>
  <si>
    <t>MIN ROOM RATE ($)</t>
  </si>
  <si>
    <t>MAX ROOM RATE ($)</t>
  </si>
  <si>
    <t>MIN BOOKING REVENUE ($)</t>
  </si>
  <si>
    <t>MAX BOOKING REVENUE ($)</t>
  </si>
  <si>
    <t>SUMMARY BY ROOM TYPE</t>
  </si>
  <si>
    <t>SUMMARY BY BOOKING CHANNEL</t>
  </si>
  <si>
    <t>Room Type</t>
  </si>
  <si>
    <t>Bookings</t>
  </si>
  <si>
    <t>Total Revenue ($)</t>
  </si>
  <si>
    <t>MIN Revenue ($)</t>
  </si>
  <si>
    <t>MAX Revenue ($)</t>
  </si>
  <si>
    <t>Channel</t>
  </si>
  <si>
    <t>🏨 HOTEL MANAGEMENT - PIVOT ANALYSIS (FORMULA-DRIVEN)</t>
  </si>
  <si>
    <t>PIVOT TABLE 1: PERFORMANCE BY ROOM TYPE</t>
  </si>
  <si>
    <t>Total Bookings</t>
  </si>
  <si>
    <t>Total Nights Occupied</t>
  </si>
  <si>
    <t>Average Daily Rate ($)</t>
  </si>
  <si>
    <t>% Revenue Share</t>
  </si>
  <si>
    <t>Deluxe Suite</t>
  </si>
  <si>
    <t>Executive Room</t>
  </si>
  <si>
    <t>Standard Room</t>
  </si>
  <si>
    <t>Presidential Suite</t>
  </si>
  <si>
    <t>Family Villa</t>
  </si>
  <si>
    <t>Grand Total</t>
  </si>
  <si>
    <t>Minimum</t>
  </si>
  <si>
    <t>Maximum</t>
  </si>
  <si>
    <t>PIVOT TABLE 2: REVENUE BY BOOKING CHANNEL</t>
  </si>
  <si>
    <t>Booking Channel</t>
  </si>
  <si>
    <t>Average Revenue / Booking ($)</t>
  </si>
  <si>
    <t>Direct Website</t>
  </si>
  <si>
    <t>Booking.com</t>
  </si>
  <si>
    <t>Expedia</t>
  </si>
  <si>
    <t>Corporate Travel</t>
  </si>
  <si>
    <t>Walk-in</t>
  </si>
  <si>
    <t>Agoda</t>
  </si>
  <si>
    <t>PIVOT TABLE 3: OVERALL DATASET MIN / MAX METRICS</t>
  </si>
  <si>
    <t>Metric Name</t>
  </si>
  <si>
    <t>Minimum Value (MIN)</t>
  </si>
  <si>
    <t>Maximum Value (MAX)</t>
  </si>
  <si>
    <t>Average Value (AVERAGE)</t>
  </si>
  <si>
    <t>Room Daily Rate ($)</t>
  </si>
  <si>
    <t>Total Booking Revenue ($)</t>
  </si>
  <si>
    <t>Length of Stay (Nights)</t>
  </si>
  <si>
    <t>Number of Guests</t>
  </si>
  <si>
    <t>Booking ID</t>
  </si>
  <si>
    <t>Guest Name</t>
  </si>
  <si>
    <t>Customer Type</t>
  </si>
  <si>
    <t>Check-In Date</t>
  </si>
  <si>
    <t>Nights</t>
  </si>
  <si>
    <t>Guests</t>
  </si>
  <si>
    <t>Room Rate ($)</t>
  </si>
  <si>
    <t>Payment Status</t>
  </si>
  <si>
    <t>HTL-0001</t>
  </si>
  <si>
    <t>Diya Bhatt</t>
  </si>
  <si>
    <t>Group</t>
  </si>
  <si>
    <t>Pending</t>
  </si>
  <si>
    <t>HTL-0002</t>
  </si>
  <si>
    <t>Siddharth Joshi</t>
  </si>
  <si>
    <t>Corporate</t>
  </si>
  <si>
    <t>HTL-0003</t>
  </si>
  <si>
    <t>Rohan Patel</t>
  </si>
  <si>
    <t>Partially Paid</t>
  </si>
  <si>
    <t>HTL-0004</t>
  </si>
  <si>
    <t>Karan Mehta</t>
  </si>
  <si>
    <t>Contract</t>
  </si>
  <si>
    <t>Refunded</t>
  </si>
  <si>
    <t>HTL-0005</t>
  </si>
  <si>
    <t>Karan Chawla</t>
  </si>
  <si>
    <t>HTL-0006</t>
  </si>
  <si>
    <t>Priya Iyer</t>
  </si>
  <si>
    <t>Transient</t>
  </si>
  <si>
    <t>HTL-0007</t>
  </si>
  <si>
    <t>Aarav Rao</t>
  </si>
  <si>
    <t>HTL-0008</t>
  </si>
  <si>
    <t>Siddharth Deshmukh</t>
  </si>
  <si>
    <t>Paid</t>
  </si>
  <si>
    <t>HTL-0009</t>
  </si>
  <si>
    <t>Ananya Patel</t>
  </si>
  <si>
    <t>HTL-0010</t>
  </si>
  <si>
    <t>Rahul Singh</t>
  </si>
  <si>
    <t>HTL-0011</t>
  </si>
  <si>
    <t>Sneha Rao</t>
  </si>
  <si>
    <t>HTL-0012</t>
  </si>
  <si>
    <t>Ananya Joshi</t>
  </si>
  <si>
    <t>HTL-0013</t>
  </si>
  <si>
    <t>Priya Patel</t>
  </si>
  <si>
    <t>HTL-0014</t>
  </si>
  <si>
    <t>Aditya Verma</t>
  </si>
  <si>
    <t>HTL-0015</t>
  </si>
  <si>
    <t>Siddharth Singh</t>
  </si>
  <si>
    <t>HTL-0016</t>
  </si>
  <si>
    <t>Arjun Patel</t>
  </si>
  <si>
    <t>HTL-0017</t>
  </si>
  <si>
    <t>Neha Bhatt</t>
  </si>
  <si>
    <t>HTL-0018</t>
  </si>
  <si>
    <t>Arjun Iyer</t>
  </si>
  <si>
    <t>HTL-0019</t>
  </si>
  <si>
    <t>Neha Joshi</t>
  </si>
  <si>
    <t>HTL-0020</t>
  </si>
  <si>
    <t>Vikram Iyer</t>
  </si>
  <si>
    <t>HTL-0021</t>
  </si>
  <si>
    <t>Rahul Joshi</t>
  </si>
  <si>
    <t>HTL-0022</t>
  </si>
  <si>
    <t>Diya Deshmukh</t>
  </si>
  <si>
    <t>HTL-0023</t>
  </si>
  <si>
    <t>Rohan Nair</t>
  </si>
  <si>
    <t>HTL-0024</t>
  </si>
  <si>
    <t>Priya Kumar</t>
  </si>
  <si>
    <t>HTL-0025</t>
  </si>
  <si>
    <t>Aarav Mehta</t>
  </si>
  <si>
    <t>HTL-0026</t>
  </si>
  <si>
    <t>HTL-0027</t>
  </si>
  <si>
    <t>Vikram Rao</t>
  </si>
  <si>
    <t>HTL-0028</t>
  </si>
  <si>
    <t>Vikram Mehta</t>
  </si>
  <si>
    <t>HTL-0029</t>
  </si>
  <si>
    <t>Isha Sharma</t>
  </si>
  <si>
    <t>HTL-0030</t>
  </si>
  <si>
    <t>Karan Singh</t>
  </si>
  <si>
    <t>HTL-0031</t>
  </si>
  <si>
    <t>Aditya Kapoor</t>
  </si>
  <si>
    <t>HTL-0032</t>
  </si>
  <si>
    <t>Rohan Joshi</t>
  </si>
  <si>
    <t>HTL-0033</t>
  </si>
  <si>
    <t>HTL-0034</t>
  </si>
  <si>
    <t>Sneha Sharma</t>
  </si>
  <si>
    <t>HTL-0035</t>
  </si>
  <si>
    <t>Karan Kumar</t>
  </si>
  <si>
    <t>HTL-0036</t>
  </si>
  <si>
    <t>Aditya Singh</t>
  </si>
  <si>
    <t>HTL-0037</t>
  </si>
  <si>
    <t>Aarav Iyer</t>
  </si>
  <si>
    <t>HTL-0038</t>
  </si>
  <si>
    <t>Diya Joshi</t>
  </si>
  <si>
    <t>HTL-0039</t>
  </si>
  <si>
    <t>Karan Patel</t>
  </si>
  <si>
    <t>HTL-0040</t>
  </si>
  <si>
    <t>Riya Rao</t>
  </si>
  <si>
    <t>HTL-0041</t>
  </si>
  <si>
    <t>HTL-0042</t>
  </si>
  <si>
    <t>Arjun Kumar</t>
  </si>
  <si>
    <t>HTL-0043</t>
  </si>
  <si>
    <t>HTL-0044</t>
  </si>
  <si>
    <t>Rohan Singh</t>
  </si>
  <si>
    <t>HTL-0045</t>
  </si>
  <si>
    <t>HTL-0046</t>
  </si>
  <si>
    <t>HTL-0047</t>
  </si>
  <si>
    <t>Sneha Singh</t>
  </si>
  <si>
    <t>HTL-0048</t>
  </si>
  <si>
    <t>Vikram Joshi</t>
  </si>
  <si>
    <t>HTL-0049</t>
  </si>
  <si>
    <t>Arjun Rao</t>
  </si>
  <si>
    <t>HTL-0050</t>
  </si>
  <si>
    <t>Ananya Rao</t>
  </si>
  <si>
    <t>HTL-0051</t>
  </si>
  <si>
    <t>Aarav Kapoor</t>
  </si>
  <si>
    <t>HTL-0052</t>
  </si>
  <si>
    <t>Aditya Sharma</t>
  </si>
  <si>
    <t>HTL-0053</t>
  </si>
  <si>
    <t>Isha Singh</t>
  </si>
  <si>
    <t>HTL-0054</t>
  </si>
  <si>
    <t>Vikram Kapoor</t>
  </si>
  <si>
    <t>HTL-0055</t>
  </si>
  <si>
    <t>Neha Sharma</t>
  </si>
  <si>
    <t>HTL-0056</t>
  </si>
  <si>
    <t>Aditya Bhatt</t>
  </si>
  <si>
    <t>HTL-0057</t>
  </si>
  <si>
    <t>HTL-0058</t>
  </si>
  <si>
    <t>Sneha Kumar</t>
  </si>
  <si>
    <t>HTL-0059</t>
  </si>
  <si>
    <t>Sneha Gupta</t>
  </si>
  <si>
    <t>HTL-0060</t>
  </si>
  <si>
    <t>Aarav Joshi</t>
  </si>
  <si>
    <t>HTL-0061</t>
  </si>
  <si>
    <t>HTL-0062</t>
  </si>
  <si>
    <t>Arjun Sharma</t>
  </si>
  <si>
    <t>HTL-0063</t>
  </si>
  <si>
    <t>Riya Kapoor</t>
  </si>
  <si>
    <t>HTL-0064</t>
  </si>
  <si>
    <t>HTL-0065</t>
  </si>
  <si>
    <t>Neha Singh</t>
  </si>
  <si>
    <t>HTL-0066</t>
  </si>
  <si>
    <t>HTL-0067</t>
  </si>
  <si>
    <t>Aditya Mehta</t>
  </si>
  <si>
    <t>HTL-0068</t>
  </si>
  <si>
    <t>Karan Sharma</t>
  </si>
  <si>
    <t>HTL-0069</t>
  </si>
  <si>
    <t>Neha Patel</t>
  </si>
  <si>
    <t>HTL-0070</t>
  </si>
  <si>
    <t>Aditya Patel</t>
  </si>
  <si>
    <t>HTL-0071</t>
  </si>
  <si>
    <t>Rahul Kumar</t>
  </si>
  <si>
    <t>HTL-0072</t>
  </si>
  <si>
    <t>Rohan Mehta</t>
  </si>
  <si>
    <t>HTL-0073</t>
  </si>
  <si>
    <t>HTL-0074</t>
  </si>
  <si>
    <t>Ananya Bhatt</t>
  </si>
  <si>
    <t>HTL-0075</t>
  </si>
  <si>
    <t>Riya Singh</t>
  </si>
  <si>
    <t>HTL-0076</t>
  </si>
  <si>
    <t>Ananya Kapoor</t>
  </si>
  <si>
    <t>HTL-0077</t>
  </si>
  <si>
    <t>Siddharth Kumar</t>
  </si>
  <si>
    <t>HTL-0078</t>
  </si>
  <si>
    <t>Aditya Nair</t>
  </si>
  <si>
    <t>HTL-0079</t>
  </si>
  <si>
    <t>Rohan Deshmukh</t>
  </si>
  <si>
    <t>HTL-0080</t>
  </si>
  <si>
    <t>HTL-0081</t>
  </si>
  <si>
    <t>HTL-0082</t>
  </si>
  <si>
    <t>Sneha Mehta</t>
  </si>
  <si>
    <t>HTL-0083</t>
  </si>
  <si>
    <t>Aarav Bhatt</t>
  </si>
  <si>
    <t>HTL-0084</t>
  </si>
  <si>
    <t>Aarav Kumar</t>
  </si>
  <si>
    <t>HTL-0085</t>
  </si>
  <si>
    <t>HTL-0086</t>
  </si>
  <si>
    <t>Ananya Mehta</t>
  </si>
  <si>
    <t>HTL-0087</t>
  </si>
  <si>
    <t>Neha Chawla</t>
  </si>
  <si>
    <t>HTL-0088</t>
  </si>
  <si>
    <t>Rahul Iyer</t>
  </si>
  <si>
    <t>HTL-0089</t>
  </si>
  <si>
    <t>Priya Kapoor</t>
  </si>
  <si>
    <t>HTL-0090</t>
  </si>
  <si>
    <t>Neha Verma</t>
  </si>
  <si>
    <t>HTL-0091</t>
  </si>
  <si>
    <t>Vikram Singh</t>
  </si>
  <si>
    <t>HTL-0092</t>
  </si>
  <si>
    <t>HTL-0093</t>
  </si>
  <si>
    <t>Siddharth Bhatt</t>
  </si>
  <si>
    <t>HTL-0094</t>
  </si>
  <si>
    <t>Arjun Gupta</t>
  </si>
  <si>
    <t>HTL-0095</t>
  </si>
  <si>
    <t>HTL-0096</t>
  </si>
  <si>
    <t>Priya Nair</t>
  </si>
  <si>
    <t>HTL-0097</t>
  </si>
  <si>
    <t>HTL-0098</t>
  </si>
  <si>
    <t>Rohan Gupta</t>
  </si>
  <si>
    <t>HTL-0099</t>
  </si>
  <si>
    <t>Isha Chawla</t>
  </si>
  <si>
    <t>HTL-0100</t>
  </si>
  <si>
    <t>Arjun Joshi</t>
  </si>
  <si>
    <t>HTL-0101</t>
  </si>
  <si>
    <t>HTL-0102</t>
  </si>
  <si>
    <t>Sneha Kapoor</t>
  </si>
  <si>
    <t>HTL-0103</t>
  </si>
  <si>
    <t>HTL-0104</t>
  </si>
  <si>
    <t>HTL-0105</t>
  </si>
  <si>
    <t>Priya Joshi</t>
  </si>
  <si>
    <t>HTL-0106</t>
  </si>
  <si>
    <t>HTL-0107</t>
  </si>
  <si>
    <t>Neha Kumar</t>
  </si>
  <si>
    <t>HTL-0108</t>
  </si>
  <si>
    <t>Arjun Verma</t>
  </si>
  <si>
    <t>HTL-0109</t>
  </si>
  <si>
    <t>HTL-0110</t>
  </si>
  <si>
    <t>HTL-0111</t>
  </si>
  <si>
    <t>Ananya Gupta</t>
  </si>
  <si>
    <t>HTL-0112</t>
  </si>
  <si>
    <t>Karan Joshi</t>
  </si>
  <si>
    <t>HTL-0113</t>
  </si>
  <si>
    <t>Isha Kumar</t>
  </si>
  <si>
    <t>HTL-0114</t>
  </si>
  <si>
    <t>Sneha Chawla</t>
  </si>
  <si>
    <t>HTL-0115</t>
  </si>
  <si>
    <t>HTL-0116</t>
  </si>
  <si>
    <t>Arjun Deshmukh</t>
  </si>
  <si>
    <t>HTL-0117</t>
  </si>
  <si>
    <t>Diya Rao</t>
  </si>
  <si>
    <t>HTL-0118</t>
  </si>
  <si>
    <t>HTL-0119</t>
  </si>
  <si>
    <t>Rahul Rao</t>
  </si>
  <si>
    <t>HTL-0120</t>
  </si>
  <si>
    <t>Sneha Deshmukh</t>
  </si>
  <si>
    <t>HTL-0121</t>
  </si>
  <si>
    <t>Aarav Verma</t>
  </si>
  <si>
    <t>HTL-0122</t>
  </si>
  <si>
    <t>Sneha Verma</t>
  </si>
  <si>
    <t>HTL-0123</t>
  </si>
  <si>
    <t>HTL-0124</t>
  </si>
  <si>
    <t>HTL-0125</t>
  </si>
  <si>
    <t>Riya Patel</t>
  </si>
  <si>
    <t>HTL-0126</t>
  </si>
  <si>
    <t>HTL-0127</t>
  </si>
  <si>
    <t>HTL-0128</t>
  </si>
  <si>
    <t>Diya Kumar</t>
  </si>
  <si>
    <t>HTL-0129</t>
  </si>
  <si>
    <t>HTL-0130</t>
  </si>
  <si>
    <t>HTL-0131</t>
  </si>
  <si>
    <t>HTL-0132</t>
  </si>
  <si>
    <t>HTL-0133</t>
  </si>
  <si>
    <t>HTL-0134</t>
  </si>
  <si>
    <t>HTL-0135</t>
  </si>
  <si>
    <t>HTL-0136</t>
  </si>
  <si>
    <t>HTL-0137</t>
  </si>
  <si>
    <t>Isha Deshmukh</t>
  </si>
  <si>
    <t>HTL-0138</t>
  </si>
  <si>
    <t>HTL-0139</t>
  </si>
  <si>
    <t>HTL-0140</t>
  </si>
  <si>
    <t>Riya Mehta</t>
  </si>
  <si>
    <t>HTL-0141</t>
  </si>
  <si>
    <t>Karan Verma</t>
  </si>
  <si>
    <t>HTL-0142</t>
  </si>
  <si>
    <t>HTL-0143</t>
  </si>
  <si>
    <t>Karan Bhatt</t>
  </si>
  <si>
    <t>HTL-0144</t>
  </si>
  <si>
    <t>HTL-0145</t>
  </si>
  <si>
    <t>Karan Kapoor</t>
  </si>
  <si>
    <t>HTL-0146</t>
  </si>
  <si>
    <t>Ananya Chawla</t>
  </si>
  <si>
    <t>HTL-0147</t>
  </si>
  <si>
    <t>HTL-0148</t>
  </si>
  <si>
    <t>HTL-0149</t>
  </si>
  <si>
    <t>Arjun Chawla</t>
  </si>
  <si>
    <t>HTL-0150</t>
  </si>
  <si>
    <t>Rahul Sharma</t>
  </si>
  <si>
    <t>HTL-0151</t>
  </si>
  <si>
    <t>Rahul Mehta</t>
  </si>
  <si>
    <t>HTL-0152</t>
  </si>
  <si>
    <t>Riya Verma</t>
  </si>
  <si>
    <t>HTL-0153</t>
  </si>
  <si>
    <t>HTL-0154</t>
  </si>
  <si>
    <t>HTL-0155</t>
  </si>
  <si>
    <t>Sneha Patel</t>
  </si>
  <si>
    <t>HTL-0156</t>
  </si>
  <si>
    <t>HTL-0157</t>
  </si>
  <si>
    <t>HTL-0158</t>
  </si>
  <si>
    <t>Isha Verma</t>
  </si>
  <si>
    <t>HTL-0159</t>
  </si>
  <si>
    <t>HTL-0160</t>
  </si>
  <si>
    <t>HTL-0161</t>
  </si>
  <si>
    <t>Karan Deshmukh</t>
  </si>
  <si>
    <t>HTL-0162</t>
  </si>
  <si>
    <t>HTL-0163</t>
  </si>
  <si>
    <t>HTL-0164</t>
  </si>
  <si>
    <t>HTL-0165</t>
  </si>
  <si>
    <t>HTL-0166</t>
  </si>
  <si>
    <t>Ananya Singh</t>
  </si>
  <si>
    <t>HTL-0167</t>
  </si>
  <si>
    <t>Karan Nair</t>
  </si>
  <si>
    <t>HTL-0168</t>
  </si>
  <si>
    <t>HTL-0169</t>
  </si>
  <si>
    <t>Arjun Mehta</t>
  </si>
  <si>
    <t>HTL-0170</t>
  </si>
  <si>
    <t>Ananya Kumar</t>
  </si>
  <si>
    <t>HTL-0171</t>
  </si>
  <si>
    <t>HTL-0172</t>
  </si>
  <si>
    <t>HTL-0173</t>
  </si>
  <si>
    <t>Aditya Iyer</t>
  </si>
  <si>
    <t>HTL-0174</t>
  </si>
  <si>
    <t>Rahul Deshmukh</t>
  </si>
  <si>
    <t>HTL-0175</t>
  </si>
  <si>
    <t>Ananya Nair</t>
  </si>
  <si>
    <t>HTL-0176</t>
  </si>
  <si>
    <t>HTL-0177</t>
  </si>
  <si>
    <t>HTL-0178</t>
  </si>
  <si>
    <t>Rohan Kapoor</t>
  </si>
  <si>
    <t>HTL-0179</t>
  </si>
  <si>
    <t>Priya Sharma</t>
  </si>
  <si>
    <t>HTL-0180</t>
  </si>
  <si>
    <t>Vikram Sharma</t>
  </si>
  <si>
    <t>HTL-0181</t>
  </si>
  <si>
    <t>HTL-0182</t>
  </si>
  <si>
    <t>Aarav Sharma</t>
  </si>
  <si>
    <t>HTL-0183</t>
  </si>
  <si>
    <t>HTL-0184</t>
  </si>
  <si>
    <t>HTL-0185</t>
  </si>
  <si>
    <t>HTL-0186</t>
  </si>
  <si>
    <t>HTL-0187</t>
  </si>
  <si>
    <t>Siddharth Sharma</t>
  </si>
  <si>
    <t>HTL-0188</t>
  </si>
  <si>
    <t>Siddharth Patel</t>
  </si>
  <si>
    <t>HTL-0189</t>
  </si>
  <si>
    <t>HTL-0190</t>
  </si>
  <si>
    <t>HTL-0191</t>
  </si>
  <si>
    <t>HTL-0192</t>
  </si>
  <si>
    <t>Diya Patel</t>
  </si>
  <si>
    <t>HTL-0193</t>
  </si>
  <si>
    <t>HTL-0194</t>
  </si>
  <si>
    <t>HTL-0195</t>
  </si>
  <si>
    <t>HTL-0196</t>
  </si>
  <si>
    <t>HTL-0197</t>
  </si>
  <si>
    <t>Riya Iyer</t>
  </si>
  <si>
    <t>HTL-0198</t>
  </si>
  <si>
    <t>Ananya Deshmukh</t>
  </si>
  <si>
    <t>HTL-0199</t>
  </si>
  <si>
    <t>HTL-0200</t>
  </si>
  <si>
    <t>Riya Joshi</t>
  </si>
  <si>
    <t>HTL-0201</t>
  </si>
  <si>
    <t>HTL-0202</t>
  </si>
  <si>
    <t>HTL-0203</t>
  </si>
  <si>
    <t>HTL-0204</t>
  </si>
  <si>
    <t>Rohan Rao</t>
  </si>
  <si>
    <t>HTL-0205</t>
  </si>
  <si>
    <t>Rahul Verma</t>
  </si>
  <si>
    <t>HTL-0206</t>
  </si>
  <si>
    <t>HTL-0207</t>
  </si>
  <si>
    <t>Aarav Deshmukh</t>
  </si>
  <si>
    <t>HTL-0208</t>
  </si>
  <si>
    <t>Rahul Chawla</t>
  </si>
  <si>
    <t>HTL-0209</t>
  </si>
  <si>
    <t>HTL-0210</t>
  </si>
  <si>
    <t>HTL-0211</t>
  </si>
  <si>
    <t>HTL-0212</t>
  </si>
  <si>
    <t>Isha Joshi</t>
  </si>
  <si>
    <t>HTL-0213</t>
  </si>
  <si>
    <t>Vikram Kumar</t>
  </si>
  <si>
    <t>HTL-0214</t>
  </si>
  <si>
    <t>HTL-0215</t>
  </si>
  <si>
    <t>HTL-0216</t>
  </si>
  <si>
    <t>Siddharth Rao</t>
  </si>
  <si>
    <t>HTL-0217</t>
  </si>
  <si>
    <t>Aarav Gupta</t>
  </si>
  <si>
    <t>HTL-0218</t>
  </si>
  <si>
    <t>HTL-0219</t>
  </si>
  <si>
    <t>Rahul Patel</t>
  </si>
  <si>
    <t>HTL-0220</t>
  </si>
  <si>
    <t>Diya Singh</t>
  </si>
  <si>
    <t>HTL-0221</t>
  </si>
  <si>
    <t>Karan Iyer</t>
  </si>
  <si>
    <t>HTL-0222</t>
  </si>
  <si>
    <t>HTL-0223</t>
  </si>
  <si>
    <t>HTL-0224</t>
  </si>
  <si>
    <t>HTL-0225</t>
  </si>
  <si>
    <t>HTL-0226</t>
  </si>
  <si>
    <t>HTL-0227</t>
  </si>
  <si>
    <t>Riya Nair</t>
  </si>
  <si>
    <t>HTL-0228</t>
  </si>
  <si>
    <t>Priya Singh</t>
  </si>
  <si>
    <t>HTL-0229</t>
  </si>
  <si>
    <t>HTL-0230</t>
  </si>
  <si>
    <t>HTL-0231</t>
  </si>
  <si>
    <t>HTL-0232</t>
  </si>
  <si>
    <t>HTL-0233</t>
  </si>
  <si>
    <t>Diya Chawla</t>
  </si>
  <si>
    <t>HTL-0234</t>
  </si>
  <si>
    <t>HTL-0235</t>
  </si>
  <si>
    <t>HTL-0236</t>
  </si>
  <si>
    <t>HTL-0237</t>
  </si>
  <si>
    <t>HTL-0238</t>
  </si>
  <si>
    <t>HTL-0239</t>
  </si>
  <si>
    <t>HTL-0240</t>
  </si>
  <si>
    <t>Siddharth Chawla</t>
  </si>
  <si>
    <t>HTL-0241</t>
  </si>
  <si>
    <t>Neha Gupta</t>
  </si>
  <si>
    <t>HTL-0242</t>
  </si>
  <si>
    <t>HTL-0243</t>
  </si>
  <si>
    <t>HTL-0244</t>
  </si>
  <si>
    <t>HTL-0245</t>
  </si>
  <si>
    <t>Sneha Joshi</t>
  </si>
  <si>
    <t>HTL-0246</t>
  </si>
  <si>
    <t>HTL-0247</t>
  </si>
  <si>
    <t>HTL-0248</t>
  </si>
  <si>
    <t>Rahul Bhatt</t>
  </si>
  <si>
    <t>HTL-0249</t>
  </si>
  <si>
    <t>Siddharth Iyer</t>
  </si>
  <si>
    <t>HTL-0250</t>
  </si>
  <si>
    <t>Rahul Gupta</t>
  </si>
  <si>
    <t>HTL-0251</t>
  </si>
  <si>
    <t>Vikram Deshmukh</t>
  </si>
  <si>
    <t>HTL-0252</t>
  </si>
  <si>
    <t>HTL-0253</t>
  </si>
  <si>
    <t>HTL-0254</t>
  </si>
  <si>
    <t>Vikram Nair</t>
  </si>
  <si>
    <t>HTL-0255</t>
  </si>
  <si>
    <t>HTL-0256</t>
  </si>
  <si>
    <t>HTL-0257</t>
  </si>
  <si>
    <t>Vikram Verma</t>
  </si>
  <si>
    <t>HTL-0258</t>
  </si>
  <si>
    <t>HTL-0259</t>
  </si>
  <si>
    <t>Siddharth Nair</t>
  </si>
  <si>
    <t>HTL-0260</t>
  </si>
  <si>
    <t>HTL-0261</t>
  </si>
  <si>
    <t>HTL-0262</t>
  </si>
  <si>
    <t>HTL-0263</t>
  </si>
  <si>
    <t>HTL-0264</t>
  </si>
  <si>
    <t>HTL-0265</t>
  </si>
  <si>
    <t>HTL-0266</t>
  </si>
  <si>
    <t>HTL-0267</t>
  </si>
  <si>
    <t>HTL-0268</t>
  </si>
  <si>
    <t>Vikram Chawla</t>
  </si>
  <si>
    <t>HTL-0269</t>
  </si>
  <si>
    <t>Ananya Verma</t>
  </si>
  <si>
    <t>HTL-0270</t>
  </si>
  <si>
    <t>HTL-0271</t>
  </si>
  <si>
    <t>HTL-0272</t>
  </si>
  <si>
    <t>Diya Sharma</t>
  </si>
  <si>
    <t>HTL-0273</t>
  </si>
  <si>
    <t>HTL-0274</t>
  </si>
  <si>
    <t>Vikram Patel</t>
  </si>
  <si>
    <t>HTL-0275</t>
  </si>
  <si>
    <t>Siddharth Kapoor</t>
  </si>
  <si>
    <t>HTL-0276</t>
  </si>
  <si>
    <t>Siddharth Mehta</t>
  </si>
  <si>
    <t>HTL-0277</t>
  </si>
  <si>
    <t>HTL-0278</t>
  </si>
  <si>
    <t>Aditya Chawla</t>
  </si>
  <si>
    <t>HTL-0279</t>
  </si>
  <si>
    <t>Rohan Kumar</t>
  </si>
  <si>
    <t>HTL-0280</t>
  </si>
  <si>
    <t>HTL-0281</t>
  </si>
  <si>
    <t>HTL-0282</t>
  </si>
  <si>
    <t>HTL-0283</t>
  </si>
  <si>
    <t>HTL-0284</t>
  </si>
  <si>
    <t>HTL-0285</t>
  </si>
  <si>
    <t>HTL-0286</t>
  </si>
  <si>
    <t>HTL-0287</t>
  </si>
  <si>
    <t>HTL-0288</t>
  </si>
  <si>
    <t>HTL-0289</t>
  </si>
  <si>
    <t>HTL-0290</t>
  </si>
  <si>
    <t>Ananya Sharma</t>
  </si>
  <si>
    <t>HTL-0291</t>
  </si>
  <si>
    <t>HTL-0292</t>
  </si>
  <si>
    <t>HTL-0293</t>
  </si>
  <si>
    <t>Diya Verma</t>
  </si>
  <si>
    <t>HTL-0294</t>
  </si>
  <si>
    <t>HTL-0295</t>
  </si>
  <si>
    <t>HTL-0296</t>
  </si>
  <si>
    <t>HTL-0297</t>
  </si>
  <si>
    <t>Aditya Deshmukh</t>
  </si>
  <si>
    <t>HTL-0298</t>
  </si>
  <si>
    <t>HTL-0299</t>
  </si>
  <si>
    <t>Isha Kapoor</t>
  </si>
  <si>
    <t>HTL-0300</t>
  </si>
  <si>
    <t>Vikram Gupta</t>
  </si>
  <si>
    <t>HTL-0301</t>
  </si>
  <si>
    <t>Neha Rao</t>
  </si>
  <si>
    <t>HTL-0302</t>
  </si>
  <si>
    <t>HTL-0303</t>
  </si>
  <si>
    <t>HTL-0304</t>
  </si>
  <si>
    <t>Neha Deshmukh</t>
  </si>
  <si>
    <t>HTL-0305</t>
  </si>
  <si>
    <t>Aarav Patel</t>
  </si>
  <si>
    <t>HTL-0306</t>
  </si>
  <si>
    <t>Rohan Bhatt</t>
  </si>
  <si>
    <t>HTL-0307</t>
  </si>
  <si>
    <t>HTL-0308</t>
  </si>
  <si>
    <t>Priya Chawla</t>
  </si>
  <si>
    <t>HTL-0309</t>
  </si>
  <si>
    <t>HTL-0310</t>
  </si>
  <si>
    <t>HTL-0311</t>
  </si>
  <si>
    <t>HTL-0312</t>
  </si>
  <si>
    <t>HTL-0313</t>
  </si>
  <si>
    <t>Karan Gupta</t>
  </si>
  <si>
    <t>HTL-0314</t>
  </si>
  <si>
    <t>HTL-0315</t>
  </si>
  <si>
    <t>HTL-0316</t>
  </si>
  <si>
    <t>HTL-0317</t>
  </si>
  <si>
    <t>Isha Mehta</t>
  </si>
  <si>
    <t>HTL-0318</t>
  </si>
  <si>
    <t>HTL-0319</t>
  </si>
  <si>
    <t>HTL-0320</t>
  </si>
  <si>
    <t>Neha Mehta</t>
  </si>
  <si>
    <t>HTL-0321</t>
  </si>
  <si>
    <t>HTL-0322</t>
  </si>
  <si>
    <t>Neha Iyer</t>
  </si>
  <si>
    <t>HTL-0323</t>
  </si>
  <si>
    <t>HTL-0324</t>
  </si>
  <si>
    <t>HTL-0325</t>
  </si>
  <si>
    <t>Ananya Iyer</t>
  </si>
  <si>
    <t>HTL-0326</t>
  </si>
  <si>
    <t>HTL-0327</t>
  </si>
  <si>
    <t>HTL-0328</t>
  </si>
  <si>
    <t>Priya Bhatt</t>
  </si>
  <si>
    <t>HTL-0329</t>
  </si>
  <si>
    <t>Riya Chawla</t>
  </si>
  <si>
    <t>HTL-0330</t>
  </si>
  <si>
    <t>HTL-0331</t>
  </si>
  <si>
    <t>HTL-0332</t>
  </si>
  <si>
    <t>HTL-0333</t>
  </si>
  <si>
    <t>HTL-0334</t>
  </si>
  <si>
    <t>HTL-0335</t>
  </si>
  <si>
    <t>HTL-0336</t>
  </si>
  <si>
    <t>HTL-0337</t>
  </si>
  <si>
    <t>Diya Kapoor</t>
  </si>
  <si>
    <t>HTL-0338</t>
  </si>
  <si>
    <t>HTL-0339</t>
  </si>
  <si>
    <t>Aditya Kumar</t>
  </si>
  <si>
    <t>HTL-0340</t>
  </si>
  <si>
    <t>HTL-0341</t>
  </si>
  <si>
    <t>HTL-0342</t>
  </si>
  <si>
    <t>HTL-0343</t>
  </si>
  <si>
    <t>HTL-0344</t>
  </si>
  <si>
    <t>HTL-0345</t>
  </si>
  <si>
    <t>HTL-0346</t>
  </si>
  <si>
    <t>HTL-0347</t>
  </si>
  <si>
    <t>HTL-0348</t>
  </si>
  <si>
    <t>Isha Iyer</t>
  </si>
  <si>
    <t>HTL-0349</t>
  </si>
  <si>
    <t>HTL-0350</t>
  </si>
  <si>
    <t>HTL-0351</t>
  </si>
  <si>
    <t>Rohan Chawla</t>
  </si>
  <si>
    <t>HTL-0352</t>
  </si>
  <si>
    <t>HTL-0353</t>
  </si>
  <si>
    <t>HTL-0354</t>
  </si>
  <si>
    <t>HTL-0355</t>
  </si>
  <si>
    <t>HTL-0356</t>
  </si>
  <si>
    <t>HTL-0357</t>
  </si>
  <si>
    <t>HTL-0358</t>
  </si>
  <si>
    <t>HTL-0359</t>
  </si>
  <si>
    <t>Rohan Iyer</t>
  </si>
  <si>
    <t>HTL-0360</t>
  </si>
  <si>
    <t>HTL-0361</t>
  </si>
  <si>
    <t>HTL-0362</t>
  </si>
  <si>
    <t>HTL-0363</t>
  </si>
  <si>
    <t>HTL-0364</t>
  </si>
  <si>
    <t>HTL-0365</t>
  </si>
  <si>
    <t>HTL-0366</t>
  </si>
  <si>
    <t>HTL-0367</t>
  </si>
  <si>
    <t>Isha Gupta</t>
  </si>
  <si>
    <t>HTL-0368</t>
  </si>
  <si>
    <t>HTL-0369</t>
  </si>
  <si>
    <t>HTL-0370</t>
  </si>
  <si>
    <t>HTL-0371</t>
  </si>
  <si>
    <t>Diya Iyer</t>
  </si>
  <si>
    <t>HTL-0372</t>
  </si>
  <si>
    <t>HTL-0373</t>
  </si>
  <si>
    <t>HTL-0374</t>
  </si>
  <si>
    <t>HTL-0375</t>
  </si>
  <si>
    <t>HTL-0376</t>
  </si>
  <si>
    <t>HTL-0377</t>
  </si>
  <si>
    <t>HTL-0378</t>
  </si>
  <si>
    <t>Aditya Gupta</t>
  </si>
  <si>
    <t>HTL-0379</t>
  </si>
  <si>
    <t>HTL-0380</t>
  </si>
  <si>
    <t>HTL-0381</t>
  </si>
  <si>
    <t>HTL-0382</t>
  </si>
  <si>
    <t>HTL-0383</t>
  </si>
  <si>
    <t>HTL-0384</t>
  </si>
  <si>
    <t>HTL-0385</t>
  </si>
  <si>
    <t>Priya Verma</t>
  </si>
  <si>
    <t>HTL-0386</t>
  </si>
  <si>
    <t>HTL-0387</t>
  </si>
  <si>
    <t>HTL-0388</t>
  </si>
  <si>
    <t>HTL-0389</t>
  </si>
  <si>
    <t>HTL-0390</t>
  </si>
  <si>
    <t>HTL-0391</t>
  </si>
  <si>
    <t>HTL-0392</t>
  </si>
  <si>
    <t>HTL-0393</t>
  </si>
  <si>
    <t>HTL-0394</t>
  </si>
  <si>
    <t>HTL-0395</t>
  </si>
  <si>
    <t>Neha Kapoor</t>
  </si>
  <si>
    <t>HTL-0396</t>
  </si>
  <si>
    <t>HTL-0397</t>
  </si>
  <si>
    <t>HTL-0398</t>
  </si>
  <si>
    <t>HTL-0399</t>
  </si>
  <si>
    <t>HTL-0400</t>
  </si>
  <si>
    <t>HTL-0401</t>
  </si>
  <si>
    <t>HTL-0402</t>
  </si>
  <si>
    <t>HTL-0403</t>
  </si>
  <si>
    <t>HTL-0404</t>
  </si>
  <si>
    <t>Sneha Bhatt</t>
  </si>
  <si>
    <t>HTL-0405</t>
  </si>
  <si>
    <t>HTL-0406</t>
  </si>
  <si>
    <t>HTL-0407</t>
  </si>
  <si>
    <t>HTL-0408</t>
  </si>
  <si>
    <t>Aditya Rao</t>
  </si>
  <si>
    <t>HTL-0409</t>
  </si>
  <si>
    <t>HTL-0410</t>
  </si>
  <si>
    <t>HTL-0411</t>
  </si>
  <si>
    <t>HTL-0412</t>
  </si>
  <si>
    <t>HTL-0413</t>
  </si>
  <si>
    <t>HTL-0414</t>
  </si>
  <si>
    <t>Neha Nair</t>
  </si>
  <si>
    <t>HTL-0415</t>
  </si>
  <si>
    <t>HTL-0416</t>
  </si>
  <si>
    <t>HTL-0417</t>
  </si>
  <si>
    <t>HTL-0418</t>
  </si>
  <si>
    <t>HTL-0419</t>
  </si>
  <si>
    <t>Rahul Kapoor</t>
  </si>
  <si>
    <t>HTL-0420</t>
  </si>
  <si>
    <t>HTL-0421</t>
  </si>
  <si>
    <t>HTL-0422</t>
  </si>
  <si>
    <t>HTL-0423</t>
  </si>
  <si>
    <t>HTL-0424</t>
  </si>
  <si>
    <t>HTL-0425</t>
  </si>
  <si>
    <t>Rahul Nair</t>
  </si>
  <si>
    <t>HTL-0426</t>
  </si>
  <si>
    <t>HTL-0427</t>
  </si>
  <si>
    <t>HTL-0428</t>
  </si>
  <si>
    <t>HTL-0429</t>
  </si>
  <si>
    <t>HTL-0430</t>
  </si>
  <si>
    <t>HTL-0431</t>
  </si>
  <si>
    <t>Priya Gupta</t>
  </si>
  <si>
    <t>HTL-0432</t>
  </si>
  <si>
    <t>Riya Deshmukh</t>
  </si>
  <si>
    <t>HTL-0433</t>
  </si>
  <si>
    <t>HTL-0434</t>
  </si>
  <si>
    <t>HTL-0435</t>
  </si>
  <si>
    <t>HTL-0436</t>
  </si>
  <si>
    <t>HTL-0437</t>
  </si>
  <si>
    <t>Isha Nair</t>
  </si>
  <si>
    <t>HTL-0438</t>
  </si>
  <si>
    <t>HTL-0439</t>
  </si>
  <si>
    <t>HTL-0440</t>
  </si>
  <si>
    <t>Isha Bhatt</t>
  </si>
  <si>
    <t>HTL-0441</t>
  </si>
  <si>
    <t>HTL-0442</t>
  </si>
  <si>
    <t>HTL-0443</t>
  </si>
  <si>
    <t>HTL-0444</t>
  </si>
  <si>
    <t>HTL-0445</t>
  </si>
  <si>
    <t>HTL-0446</t>
  </si>
  <si>
    <t>HTL-0447</t>
  </si>
  <si>
    <t>HTL-0448</t>
  </si>
  <si>
    <t>HTL-0449</t>
  </si>
  <si>
    <t>HTL-0450</t>
  </si>
  <si>
    <t>HTL-0451</t>
  </si>
  <si>
    <t>HTL-0452</t>
  </si>
  <si>
    <t>HTL-0453</t>
  </si>
  <si>
    <t>HTL-0454</t>
  </si>
  <si>
    <t>HTL-0455</t>
  </si>
  <si>
    <t>HTL-0456</t>
  </si>
  <si>
    <t>HTL-0457</t>
  </si>
  <si>
    <t>Priya Mehta</t>
  </si>
  <si>
    <t>HTL-0458</t>
  </si>
  <si>
    <t>HTL-0459</t>
  </si>
  <si>
    <t>HTL-0460</t>
  </si>
  <si>
    <t>HTL-0461</t>
  </si>
  <si>
    <t>HTL-0462</t>
  </si>
  <si>
    <t>HTL-0463</t>
  </si>
  <si>
    <t>HTL-0464</t>
  </si>
  <si>
    <t>HTL-0465</t>
  </si>
  <si>
    <t>HTL-0466</t>
  </si>
  <si>
    <t>HTL-0467</t>
  </si>
  <si>
    <t>HTL-0468</t>
  </si>
  <si>
    <t>HTL-0469</t>
  </si>
  <si>
    <t>HTL-0470</t>
  </si>
  <si>
    <t>HTL-0471</t>
  </si>
  <si>
    <t>HTL-0472</t>
  </si>
  <si>
    <t>Riya Sharma</t>
  </si>
  <si>
    <t>HTL-0473</t>
  </si>
  <si>
    <t>Rohan Verma</t>
  </si>
  <si>
    <t>HTL-0474</t>
  </si>
  <si>
    <t>HTL-0475</t>
  </si>
  <si>
    <t>HTL-0476</t>
  </si>
  <si>
    <t>HTL-0477</t>
  </si>
  <si>
    <t>HTL-0478</t>
  </si>
  <si>
    <t>HTL-0479</t>
  </si>
  <si>
    <t>Priya Rao</t>
  </si>
  <si>
    <t>HTL-0480</t>
  </si>
  <si>
    <t>Aditya Joshi</t>
  </si>
  <si>
    <t>HTL-0481</t>
  </si>
  <si>
    <t>HTL-0482</t>
  </si>
  <si>
    <t>HTL-0483</t>
  </si>
  <si>
    <t>HTL-0484</t>
  </si>
  <si>
    <t>HTL-0485</t>
  </si>
  <si>
    <t>HTL-0486</t>
  </si>
  <si>
    <t>HTL-0487</t>
  </si>
  <si>
    <t>Riya Kumar</t>
  </si>
  <si>
    <t>HTL-0488</t>
  </si>
  <si>
    <t>HTL-0489</t>
  </si>
  <si>
    <t>HTL-0490</t>
  </si>
  <si>
    <t>Siddharth Gupta</t>
  </si>
  <si>
    <t>HTL-0491</t>
  </si>
  <si>
    <t>HTL-0492</t>
  </si>
  <si>
    <t>HTL-0493</t>
  </si>
  <si>
    <t>HTL-0494</t>
  </si>
  <si>
    <t>HTL-0495</t>
  </si>
  <si>
    <t>HTL-0496</t>
  </si>
  <si>
    <t>HTL-0497</t>
  </si>
  <si>
    <t>HTL-0498</t>
  </si>
  <si>
    <t>Diya Gupta</t>
  </si>
  <si>
    <t>HTL-0499</t>
  </si>
  <si>
    <t>HTL-0500</t>
  </si>
  <si>
    <t>Diya Nair</t>
  </si>
  <si>
    <t>Bookings2</t>
  </si>
  <si>
    <t>Total Revenue ($)3</t>
  </si>
  <si>
    <t>Row Labels</t>
  </si>
  <si>
    <t>Sum of Room Rate ($)</t>
  </si>
  <si>
    <t>Sum of Nights</t>
  </si>
  <si>
    <t>index</t>
  </si>
  <si>
    <t>match</t>
  </si>
  <si>
    <t>vlookup</t>
  </si>
  <si>
    <t>payment status for htl-0010</t>
  </si>
  <si>
    <t>xlookup</t>
  </si>
  <si>
    <t xml:space="preserve">dtail for htl-0010 </t>
  </si>
  <si>
    <t>Sum of Total Bookings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</si>
</sst>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
    <numFmt numFmtId="166" formatCode="0.0%"/>
    <numFmt numFmtId="167" formatCode="0.0"/>
  </numFmts>
  <fonts count="11" x14ac:knownFonts="1">
    <font>
      <sz val="11"/>
      <color theme="1"/>
      <name val="Calibri"/>
      <family val="2"/>
      <scheme val="minor"/>
    </font>
    <font>
      <b/>
      <sz val="16"/>
      <color rgb="FF1B365D"/>
      <name val="Calibri"/>
    </font>
    <font>
      <b/>
      <sz val="12"/>
      <color rgb="FF1B365D"/>
      <name val="Calibri"/>
    </font>
    <font>
      <b/>
      <sz val="11"/>
      <color rgb="FFFFFFFF"/>
      <name val="Calibri"/>
    </font>
    <font>
      <b/>
      <sz val="11"/>
      <name val="Calibri"/>
    </font>
    <font>
      <b/>
      <sz val="9"/>
      <color rgb="FFFFFFFF"/>
      <name val="Calibri"/>
    </font>
    <font>
      <b/>
      <sz val="15"/>
      <color rgb="FF1B365D"/>
      <name val="Calibri"/>
    </font>
    <font>
      <b/>
      <sz val="11"/>
      <color rgb="FF1B365D"/>
      <name val="Calibri"/>
    </font>
    <font>
      <b/>
      <sz val="22"/>
      <color rgb="FF1B365D"/>
      <name val="Berlin Sans FB"/>
      <family val="2"/>
    </font>
    <font>
      <b/>
      <sz val="11"/>
      <color theme="2"/>
      <name val="Calibri"/>
      <family val="2"/>
      <scheme val="minor"/>
    </font>
    <font>
      <sz val="11"/>
      <color theme="2"/>
      <name val="Calibri"/>
      <family val="2"/>
      <scheme val="minor"/>
    </font>
  </fonts>
  <fills count="7">
    <fill>
      <patternFill patternType="none"/>
    </fill>
    <fill>
      <patternFill patternType="gray125"/>
    </fill>
    <fill>
      <patternFill patternType="solid">
        <fgColor rgb="FF1B365D"/>
        <bgColor rgb="FF1B365D"/>
      </patternFill>
    </fill>
    <fill>
      <patternFill patternType="solid">
        <fgColor rgb="FFF0F4F8"/>
        <bgColor rgb="FFF0F4F8"/>
      </patternFill>
    </fill>
    <fill>
      <patternFill patternType="solid">
        <fgColor theme="4" tint="0.59999389629810485"/>
        <bgColor indexed="64"/>
      </patternFill>
    </fill>
    <fill>
      <patternFill patternType="solid">
        <fgColor theme="4" tint="0.79998168889431442"/>
        <bgColor indexed="64"/>
      </patternFill>
    </fill>
    <fill>
      <patternFill patternType="solid">
        <fgColor theme="3" tint="-0.499984740745262"/>
        <bgColor indexed="64"/>
      </patternFill>
    </fill>
  </fills>
  <borders count="1">
    <border>
      <left/>
      <right/>
      <top/>
      <bottom/>
      <diagonal/>
    </border>
  </borders>
  <cellStyleXfs count="1">
    <xf numFmtId="0" fontId="0" fillId="0" borderId="0"/>
  </cellStyleXfs>
  <cellXfs count="28">
    <xf numFmtId="0" fontId="0" fillId="0" borderId="0" xfId="0"/>
    <xf numFmtId="0" fontId="2" fillId="0" borderId="0" xfId="0" applyFont="1"/>
    <xf numFmtId="0" fontId="5" fillId="2" borderId="0" xfId="0" applyFont="1" applyFill="1" applyAlignment="1">
      <alignment horizontal="center" vertical="center"/>
    </xf>
    <xf numFmtId="3" fontId="6" fillId="3" borderId="0" xfId="0" applyNumberFormat="1" applyFont="1" applyFill="1" applyAlignment="1">
      <alignment horizontal="center" vertical="center"/>
    </xf>
    <xf numFmtId="165" fontId="6" fillId="3" borderId="0" xfId="0" applyNumberFormat="1" applyFont="1" applyFill="1" applyAlignment="1">
      <alignment horizontal="center" vertical="center"/>
    </xf>
    <xf numFmtId="0" fontId="7" fillId="0" borderId="0" xfId="0" applyFont="1"/>
    <xf numFmtId="0" fontId="3" fillId="2" borderId="0" xfId="0" applyFont="1" applyFill="1" applyAlignment="1">
      <alignment horizontal="center" vertical="center"/>
    </xf>
    <xf numFmtId="0" fontId="1" fillId="0" borderId="0" xfId="0" applyFont="1"/>
    <xf numFmtId="0" fontId="0" fillId="0" borderId="0" xfId="0" applyAlignment="1">
      <alignment horizontal="center"/>
    </xf>
    <xf numFmtId="3" fontId="0" fillId="0" borderId="0" xfId="0" applyNumberFormat="1" applyAlignment="1">
      <alignment horizontal="center"/>
    </xf>
    <xf numFmtId="165" fontId="0" fillId="0" borderId="0" xfId="0" applyNumberFormat="1" applyAlignment="1">
      <alignment horizontal="center"/>
    </xf>
    <xf numFmtId="0" fontId="4" fillId="0" borderId="0" xfId="0" applyFont="1" applyAlignment="1">
      <alignment horizontal="center"/>
    </xf>
    <xf numFmtId="3" fontId="4" fillId="0" borderId="0" xfId="0" applyNumberFormat="1" applyFont="1" applyAlignment="1">
      <alignment horizontal="center"/>
    </xf>
    <xf numFmtId="165" fontId="4" fillId="0" borderId="0" xfId="0" applyNumberFormat="1" applyFont="1" applyAlignment="1">
      <alignment horizontal="center"/>
    </xf>
    <xf numFmtId="166" fontId="0" fillId="0" borderId="0" xfId="0" applyNumberFormat="1" applyAlignment="1">
      <alignment horizontal="center"/>
    </xf>
    <xf numFmtId="166" fontId="4" fillId="0" borderId="0" xfId="0" applyNumberFormat="1" applyFont="1" applyAlignment="1">
      <alignment horizontal="center"/>
    </xf>
    <xf numFmtId="167" fontId="0" fillId="0" borderId="0" xfId="0" applyNumberFormat="1" applyAlignment="1">
      <alignment horizontal="center"/>
    </xf>
    <xf numFmtId="164" fontId="0" fillId="0" borderId="0" xfId="0" applyNumberFormat="1" applyAlignment="1">
      <alignment horizontal="center"/>
    </xf>
    <xf numFmtId="0" fontId="0" fillId="0" borderId="0" xfId="0" pivotButton="1"/>
    <xf numFmtId="0" fontId="0" fillId="0" borderId="0" xfId="0" applyAlignment="1">
      <alignment horizontal="left"/>
    </xf>
    <xf numFmtId="165" fontId="0" fillId="0" borderId="0" xfId="0" applyNumberFormat="1"/>
    <xf numFmtId="0" fontId="2" fillId="4" borderId="0" xfId="0" applyFont="1" applyFill="1" applyAlignment="1">
      <alignment horizontal="center"/>
    </xf>
    <xf numFmtId="0" fontId="0" fillId="4" borderId="0" xfId="0" applyFill="1" applyAlignment="1">
      <alignment horizontal="center"/>
    </xf>
    <xf numFmtId="0" fontId="8" fillId="5" borderId="0" xfId="0" applyFont="1" applyFill="1" applyAlignment="1">
      <alignment horizontal="center"/>
    </xf>
    <xf numFmtId="0" fontId="9" fillId="6" borderId="0" xfId="0" applyFont="1" applyFill="1" applyAlignment="1">
      <alignment horizontal="center"/>
    </xf>
    <xf numFmtId="0" fontId="10" fillId="6" borderId="0" xfId="0" applyFont="1" applyFill="1" applyAlignment="1">
      <alignment horizontal="center"/>
    </xf>
    <xf numFmtId="0" fontId="0" fillId="0" borderId="0" xfId="0" applyNumberFormat="1"/>
    <xf numFmtId="3" fontId="0" fillId="0" borderId="0" xfId="0" applyNumberFormat="1"/>
  </cellXfs>
  <cellStyles count="1">
    <cellStyle name="Normal" xfId="0" builtinId="0"/>
  </cellStyles>
  <dxfs count="45">
    <dxf>
      <font>
        <color rgb="FF9C0006"/>
      </font>
      <fill>
        <patternFill>
          <bgColor rgb="FFFFC7CE"/>
        </patternFill>
      </fill>
    </dxf>
    <dxf>
      <alignment horizontal="center" textRotation="0" wrapText="0" indent="0" justifyLastLine="0" shrinkToFit="0" readingOrder="0"/>
    </dxf>
    <dxf>
      <alignment horizontal="center" textRotation="0" wrapText="0" indent="0" justifyLastLine="0" shrinkToFit="0" readingOrder="0"/>
    </dxf>
    <dxf>
      <alignment horizontal="center" textRotation="0" wrapText="0" indent="0" justifyLastLine="0" shrinkToFit="0" readingOrder="0"/>
    </dxf>
    <dxf>
      <alignment horizontal="center" textRotation="0" wrapText="0" indent="0" justifyLastLine="0" shrinkToFit="0" readingOrder="0"/>
    </dxf>
    <dxf>
      <alignment horizontal="center" textRotation="0" wrapText="0" indent="0" justifyLastLine="0" shrinkToFit="0" readingOrder="0"/>
    </dxf>
    <dxf>
      <font>
        <b/>
        <i val="0"/>
        <strike val="0"/>
        <condense val="0"/>
        <extend val="0"/>
        <outline val="0"/>
        <shadow val="0"/>
        <u val="none"/>
        <vertAlign val="baseline"/>
        <sz val="11"/>
        <color rgb="FFFFFFFF"/>
        <name val="Calibri"/>
        <scheme val="none"/>
      </font>
      <fill>
        <patternFill patternType="solid">
          <fgColor rgb="FF1B365D"/>
          <bgColor rgb="FF1B365D"/>
        </patternFill>
      </fill>
      <alignment horizontal="center" vertical="center" textRotation="0" wrapText="0" indent="0" justifyLastLine="0" shrinkToFit="0" readingOrder="0"/>
    </dxf>
    <dxf>
      <numFmt numFmtId="165" formatCode="\$#,##0.00"/>
      <alignment horizontal="center" textRotation="0" wrapText="0" indent="0" justifyLastLine="0" shrinkToFit="0" readingOrder="0"/>
    </dxf>
    <dxf>
      <numFmt numFmtId="165" formatCode="\$#,##0.00"/>
      <alignment horizontal="center" textRotation="0" wrapText="0" indent="0" justifyLastLine="0" shrinkToFit="0" readingOrder="0"/>
    </dxf>
    <dxf>
      <numFmt numFmtId="3" formatCode="#,##0"/>
      <alignment horizontal="center" textRotation="0" wrapText="0" indent="0" justifyLastLine="0" shrinkToFit="0" readingOrder="0"/>
    </dxf>
    <dxf>
      <alignment horizontal="center" textRotation="0" wrapText="0" indent="0" justifyLastLine="0" shrinkToFit="0" readingOrder="0"/>
    </dxf>
    <dxf>
      <alignment horizontal="center" textRotation="0" wrapText="0" indent="0" justifyLastLine="0" shrinkToFit="0" readingOrder="0"/>
    </dxf>
    <dxf>
      <font>
        <b/>
        <i val="0"/>
        <strike val="0"/>
        <condense val="0"/>
        <extend val="0"/>
        <outline val="0"/>
        <shadow val="0"/>
        <u val="none"/>
        <vertAlign val="baseline"/>
        <sz val="11"/>
        <color rgb="FFFFFFFF"/>
        <name val="Calibri"/>
        <scheme val="none"/>
      </font>
      <fill>
        <patternFill patternType="solid">
          <fgColor rgb="FF1B365D"/>
          <bgColor rgb="FF1B365D"/>
        </patternFill>
      </fill>
      <alignment horizontal="center" vertical="center" textRotation="0" wrapText="0" indent="0" justifyLastLine="0" shrinkToFit="0" readingOrder="0"/>
    </dxf>
    <dxf>
      <font>
        <b/>
        <i val="0"/>
        <strike val="0"/>
        <condense val="0"/>
        <extend val="0"/>
        <outline val="0"/>
        <shadow val="0"/>
        <u val="none"/>
        <vertAlign val="baseline"/>
        <sz val="11"/>
        <color auto="1"/>
        <name val="Calibri"/>
        <scheme val="none"/>
      </font>
      <numFmt numFmtId="166" formatCode="0.0%"/>
      <alignment horizontal="center" textRotation="0" wrapText="0" indent="0" justifyLastLine="0" shrinkToFit="0" readingOrder="0"/>
    </dxf>
    <dxf>
      <font>
        <b/>
        <i val="0"/>
        <strike val="0"/>
        <condense val="0"/>
        <extend val="0"/>
        <outline val="0"/>
        <shadow val="0"/>
        <u val="none"/>
        <vertAlign val="baseline"/>
        <sz val="11"/>
        <color auto="1"/>
        <name val="Calibri"/>
        <scheme val="none"/>
      </font>
      <numFmt numFmtId="165" formatCode="\$#,##0.00"/>
      <alignment horizontal="center" textRotation="0" wrapText="0" indent="0" justifyLastLine="0" shrinkToFit="0" readingOrder="0"/>
    </dxf>
    <dxf>
      <font>
        <b/>
        <i val="0"/>
        <strike val="0"/>
        <condense val="0"/>
        <extend val="0"/>
        <outline val="0"/>
        <shadow val="0"/>
        <u val="none"/>
        <vertAlign val="baseline"/>
        <sz val="11"/>
        <color auto="1"/>
        <name val="Calibri"/>
        <scheme val="none"/>
      </font>
      <numFmt numFmtId="165" formatCode="\$#,##0.00"/>
      <alignment horizontal="center" textRotation="0" wrapText="0" indent="0" justifyLastLine="0" shrinkToFit="0" readingOrder="0"/>
    </dxf>
    <dxf>
      <font>
        <b/>
        <i val="0"/>
        <strike val="0"/>
        <condense val="0"/>
        <extend val="0"/>
        <outline val="0"/>
        <shadow val="0"/>
        <u val="none"/>
        <vertAlign val="baseline"/>
        <sz val="11"/>
        <color auto="1"/>
        <name val="Calibri"/>
        <scheme val="none"/>
      </font>
      <numFmt numFmtId="3" formatCode="#,##0"/>
      <alignment horizontal="center" textRotation="0" wrapText="0" indent="0" justifyLastLine="0" shrinkToFit="0" readingOrder="0"/>
    </dxf>
    <dxf>
      <font>
        <b/>
        <i val="0"/>
        <strike val="0"/>
        <condense val="0"/>
        <extend val="0"/>
        <outline val="0"/>
        <shadow val="0"/>
        <u val="none"/>
        <vertAlign val="baseline"/>
        <sz val="11"/>
        <color auto="1"/>
        <name val="Calibri"/>
        <scheme val="none"/>
      </font>
      <numFmt numFmtId="3" formatCode="#,##0"/>
      <alignment horizontal="center" textRotation="0" wrapText="0" indent="0" justifyLastLine="0" shrinkToFit="0" readingOrder="0"/>
    </dxf>
    <dxf>
      <font>
        <b/>
        <i val="0"/>
        <strike val="0"/>
        <condense val="0"/>
        <extend val="0"/>
        <outline val="0"/>
        <shadow val="0"/>
        <u val="none"/>
        <vertAlign val="baseline"/>
        <sz val="11"/>
        <color auto="1"/>
        <name val="Calibri"/>
        <scheme val="none"/>
      </font>
      <alignment horizontal="center" textRotation="0" wrapText="0" indent="0" justifyLastLine="0" shrinkToFit="0" readingOrder="0"/>
    </dxf>
    <dxf>
      <font>
        <b/>
        <i val="0"/>
        <strike val="0"/>
        <condense val="0"/>
        <extend val="0"/>
        <outline val="0"/>
        <shadow val="0"/>
        <u val="none"/>
        <vertAlign val="baseline"/>
        <sz val="11"/>
        <color auto="1"/>
        <name val="Calibri"/>
        <scheme val="none"/>
      </font>
    </dxf>
    <dxf>
      <font>
        <b/>
        <i val="0"/>
        <strike val="0"/>
        <condense val="0"/>
        <extend val="0"/>
        <outline val="0"/>
        <shadow val="0"/>
        <u val="none"/>
        <vertAlign val="baseline"/>
        <sz val="11"/>
        <color rgb="FFFFFFFF"/>
        <name val="Calibri"/>
        <scheme val="none"/>
      </font>
      <fill>
        <patternFill patternType="solid">
          <fgColor rgb="FF1B365D"/>
          <bgColor rgb="FF1B365D"/>
        </patternFill>
      </fill>
      <alignment horizontal="center" vertical="center"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numFmt numFmtId="165" formatCode="\$#,##0.00"/>
      <alignment horizontal="center" vertical="bottom" textRotation="0" wrapText="0" indent="0" justifyLastLine="0" shrinkToFit="0" readingOrder="0"/>
    </dxf>
    <dxf>
      <numFmt numFmtId="3" formatCode="#,##0"/>
      <alignment horizontal="center" vertical="bottom" textRotation="0" wrapText="0" indent="0" justifyLastLine="0" shrinkToFit="0" readingOrder="0"/>
    </dxf>
    <dxf>
      <alignment horizontal="center" vertical="bottom" textRotation="0" wrapText="0" indent="0" justifyLastLine="0" shrinkToFit="0" readingOrder="0"/>
    </dxf>
    <dxf>
      <numFmt numFmtId="165" formatCode="\$#,##0.00"/>
      <alignment horizontal="center" vertical="bottom" textRotation="0" wrapText="0" indent="0" justifyLastLine="0" shrinkToFit="0" readingOrder="0"/>
    </dxf>
    <dxf>
      <numFmt numFmtId="165" formatCode="\$#,##0.00"/>
      <alignment horizontal="center" vertical="bottom" textRotation="0" wrapText="0" indent="0" justifyLastLine="0" shrinkToFit="0" readingOrder="0"/>
    </dxf>
    <dxf>
      <numFmt numFmtId="165" formatCode="\$#,##0.00"/>
      <alignment horizontal="center" vertical="bottom" textRotation="0" wrapText="0" indent="0" justifyLastLine="0" shrinkToFit="0" readingOrder="0"/>
    </dxf>
    <dxf>
      <numFmt numFmtId="3" formatCode="#,##0"/>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font>
        <b/>
        <i val="0"/>
        <strike val="0"/>
        <condense val="0"/>
        <extend val="0"/>
        <outline val="0"/>
        <shadow val="0"/>
        <u val="none"/>
        <vertAlign val="baseline"/>
        <sz val="11"/>
        <color rgb="FFFFFFFF"/>
        <name val="Calibri"/>
        <scheme val="none"/>
      </font>
      <fill>
        <patternFill patternType="solid">
          <fgColor rgb="FF1B365D"/>
          <bgColor rgb="FF1B365D"/>
        </patternFill>
      </fill>
      <alignment horizontal="center" vertical="center" textRotation="0" wrapText="0" indent="0" justifyLastLine="0" shrinkToFit="0" readingOrder="0"/>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2.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microsoft.com/office/2007/relationships/slicerCache" Target="slicerCaches/slicerCache4.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eetMetadata" Target="metadata.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[Hotel_Management_System_Final.xlsx]Sheet3!PivotTable3</c:name>
    <c:fmtId val="11"/>
  </c:pivotSource>
  <c:chart>
    <c:autoTitleDeleted val="0"/>
    <c:pivotFmts>
      <c:pivotFmt>
        <c:idx val="0"/>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Sheet3!$B$3</c:f>
              <c:strCache>
                <c:ptCount val="1"/>
                <c:pt idx="0">
                  <c:v>Sum of Room Rate ($)</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Sheet3!$A$4:$A$10</c:f>
              <c:strCache>
                <c:ptCount val="6"/>
                <c:pt idx="0">
                  <c:v>Agoda</c:v>
                </c:pt>
                <c:pt idx="1">
                  <c:v>Booking.com</c:v>
                </c:pt>
                <c:pt idx="2">
                  <c:v>Corporate Travel</c:v>
                </c:pt>
                <c:pt idx="3">
                  <c:v>Direct Website</c:v>
                </c:pt>
                <c:pt idx="4">
                  <c:v>Expedia</c:v>
                </c:pt>
                <c:pt idx="5">
                  <c:v>Walk-in</c:v>
                </c:pt>
              </c:strCache>
            </c:strRef>
          </c:cat>
          <c:val>
            <c:numRef>
              <c:f>Sheet3!$B$4:$B$10</c:f>
              <c:numCache>
                <c:formatCode>\$#,##0.00</c:formatCode>
                <c:ptCount val="6"/>
                <c:pt idx="0">
                  <c:v>4375</c:v>
                </c:pt>
                <c:pt idx="1">
                  <c:v>1448</c:v>
                </c:pt>
                <c:pt idx="2">
                  <c:v>3488</c:v>
                </c:pt>
                <c:pt idx="3">
                  <c:v>2190</c:v>
                </c:pt>
                <c:pt idx="4">
                  <c:v>4203</c:v>
                </c:pt>
                <c:pt idx="5">
                  <c:v>858</c:v>
                </c:pt>
              </c:numCache>
            </c:numRef>
          </c:val>
          <c:extLst>
            <c:ext xmlns:c16="http://schemas.microsoft.com/office/drawing/2014/chart" uri="{C3380CC4-5D6E-409C-BE32-E72D297353CC}">
              <c16:uniqueId val="{00000000-4061-4728-99C4-BC3C0DFB648C}"/>
            </c:ext>
          </c:extLst>
        </c:ser>
        <c:ser>
          <c:idx val="1"/>
          <c:order val="1"/>
          <c:tx>
            <c:strRef>
              <c:f>Sheet3!$C$3</c:f>
              <c:strCache>
                <c:ptCount val="1"/>
                <c:pt idx="0">
                  <c:v>Sum of Nights</c:v>
                </c:pt>
              </c:strCache>
            </c:strRef>
          </c:tx>
          <c:spPr>
            <a:noFill/>
            <a:ln w="9525" cap="flat" cmpd="sng" algn="ctr">
              <a:solidFill>
                <a:schemeClr val="accent2"/>
              </a:solidFill>
              <a:miter lim="800000"/>
            </a:ln>
            <a:effectLst>
              <a:glow rad="63500">
                <a:schemeClr val="accent2">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Sheet3!$A$4:$A$10</c:f>
              <c:strCache>
                <c:ptCount val="6"/>
                <c:pt idx="0">
                  <c:v>Agoda</c:v>
                </c:pt>
                <c:pt idx="1">
                  <c:v>Booking.com</c:v>
                </c:pt>
                <c:pt idx="2">
                  <c:v>Corporate Travel</c:v>
                </c:pt>
                <c:pt idx="3">
                  <c:v>Direct Website</c:v>
                </c:pt>
                <c:pt idx="4">
                  <c:v>Expedia</c:v>
                </c:pt>
                <c:pt idx="5">
                  <c:v>Walk-in</c:v>
                </c:pt>
              </c:strCache>
            </c:strRef>
          </c:cat>
          <c:val>
            <c:numRef>
              <c:f>Sheet3!$C$4:$C$10</c:f>
              <c:numCache>
                <c:formatCode>General</c:formatCode>
                <c:ptCount val="6"/>
                <c:pt idx="0">
                  <c:v>36</c:v>
                </c:pt>
                <c:pt idx="1">
                  <c:v>9</c:v>
                </c:pt>
                <c:pt idx="2">
                  <c:v>30</c:v>
                </c:pt>
                <c:pt idx="3">
                  <c:v>21</c:v>
                </c:pt>
                <c:pt idx="4">
                  <c:v>36</c:v>
                </c:pt>
                <c:pt idx="5">
                  <c:v>9</c:v>
                </c:pt>
              </c:numCache>
            </c:numRef>
          </c:val>
          <c:extLst>
            <c:ext xmlns:c16="http://schemas.microsoft.com/office/drawing/2014/chart" uri="{C3380CC4-5D6E-409C-BE32-E72D297353CC}">
              <c16:uniqueId val="{00000001-4061-4728-99C4-BC3C0DFB648C}"/>
            </c:ext>
          </c:extLst>
        </c:ser>
        <c:dLbls>
          <c:dLblPos val="outEnd"/>
          <c:showLegendKey val="0"/>
          <c:showVal val="1"/>
          <c:showCatName val="0"/>
          <c:showSerName val="0"/>
          <c:showPercent val="0"/>
          <c:showBubbleSize val="0"/>
        </c:dLbls>
        <c:gapWidth val="315"/>
        <c:overlap val="-40"/>
        <c:axId val="891212479"/>
        <c:axId val="371571823"/>
      </c:barChart>
      <c:catAx>
        <c:axId val="891212479"/>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371571823"/>
        <c:crosses val="autoZero"/>
        <c:auto val="1"/>
        <c:lblAlgn val="ctr"/>
        <c:lblOffset val="100"/>
        <c:noMultiLvlLbl val="0"/>
      </c:catAx>
      <c:valAx>
        <c:axId val="371571823"/>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8912124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[Hotel_Management_System_Final.xlsx]Sheet1!PivotTable1</c:name>
    <c:fmtId val="4"/>
  </c:pivotSource>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pPr>
            <a:solidFill>
              <a:schemeClr val="accent1">
                <a:alpha val="85000"/>
              </a:schemeClr>
            </a:solidFill>
            <a:ln>
              <a:noFill/>
            </a:ln>
            <a:effectLst/>
          </c:spPr>
        </c:marker>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marker>
          <c:spPr>
            <a:solidFill>
              <a:schemeClr val="accent1">
                <a:alpha val="85000"/>
              </a:schemeClr>
            </a:solidFill>
            <a:ln>
              <a:noFill/>
            </a:ln>
            <a:effectLst/>
          </c:spPr>
        </c:marker>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3"/>
        <c:spPr>
          <a:solidFill>
            <a:schemeClr val="accent1"/>
          </a:solidFill>
          <a:ln>
            <a:noFill/>
          </a:ln>
          <a:effectLst>
            <a:outerShdw blurRad="254000" sx="102000" sy="102000" algn="ctr" rotWithShape="0">
              <a:prstClr val="black">
                <a:alpha val="20000"/>
              </a:prstClr>
            </a:outerShdw>
          </a:effectLst>
        </c:spPr>
      </c:pivotFmt>
      <c:pivotFmt>
        <c:idx val="4"/>
        <c:spPr>
          <a:solidFill>
            <a:schemeClr val="accent1"/>
          </a:solidFill>
          <a:ln>
            <a:noFill/>
          </a:ln>
          <a:effectLst>
            <a:outerShdw blurRad="254000" sx="102000" sy="102000" algn="ctr" rotWithShape="0">
              <a:prstClr val="black">
                <a:alpha val="20000"/>
              </a:prstClr>
            </a:outerShdw>
          </a:effectLst>
        </c:spPr>
      </c:pivotFmt>
      <c:pivotFmt>
        <c:idx val="5"/>
        <c:spPr>
          <a:solidFill>
            <a:schemeClr val="accent1"/>
          </a:solidFill>
          <a:ln>
            <a:noFill/>
          </a:ln>
          <a:effectLst>
            <a:outerShdw blurRad="254000" sx="102000" sy="102000" algn="ctr" rotWithShape="0">
              <a:prstClr val="black">
                <a:alpha val="20000"/>
              </a:prstClr>
            </a:outerShdw>
          </a:effectLst>
        </c:spPr>
      </c:pivotFmt>
      <c:pivotFmt>
        <c:idx val="6"/>
        <c:spPr>
          <a:solidFill>
            <a:schemeClr val="accent1"/>
          </a:solidFill>
          <a:ln>
            <a:noFill/>
          </a:ln>
          <a:effectLst>
            <a:outerShdw blurRad="254000" sx="102000" sy="102000" algn="ctr" rotWithShape="0">
              <a:prstClr val="black">
                <a:alpha val="20000"/>
              </a:prstClr>
            </a:outerShdw>
          </a:effectLst>
        </c:spPr>
      </c:pivotFmt>
      <c:pivotFmt>
        <c:idx val="7"/>
        <c:spPr>
          <a:solidFill>
            <a:schemeClr val="accent1"/>
          </a:solidFill>
          <a:ln>
            <a:noFill/>
          </a:ln>
          <a:effectLst>
            <a:outerShdw blurRad="254000" sx="102000" sy="102000" algn="ctr" rotWithShape="0">
              <a:prstClr val="black">
                <a:alpha val="20000"/>
              </a:prstClr>
            </a:outerShdw>
          </a:effectLst>
        </c:spPr>
      </c:pivotFmt>
      <c:pivotFmt>
        <c:idx val="8"/>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accent1"/>
          </a:solidFill>
          <a:ln>
            <a:noFill/>
          </a:ln>
          <a:effectLst>
            <a:outerShdw blurRad="254000" sx="102000" sy="102000" algn="ctr" rotWithShape="0">
              <a:prstClr val="black">
                <a:alpha val="20000"/>
              </a:prstClr>
            </a:outerShdw>
          </a:effectLst>
        </c:spPr>
      </c:pivotFmt>
      <c:pivotFmt>
        <c:idx val="10"/>
        <c:spPr>
          <a:solidFill>
            <a:schemeClr val="accent1"/>
          </a:solidFill>
          <a:ln>
            <a:noFill/>
          </a:ln>
          <a:effectLst>
            <a:outerShdw blurRad="254000" sx="102000" sy="102000" algn="ctr" rotWithShape="0">
              <a:prstClr val="black">
                <a:alpha val="20000"/>
              </a:prstClr>
            </a:outerShdw>
          </a:effectLst>
        </c:spPr>
      </c:pivotFmt>
      <c:pivotFmt>
        <c:idx val="11"/>
        <c:spPr>
          <a:solidFill>
            <a:schemeClr val="accent1"/>
          </a:solidFill>
          <a:ln>
            <a:noFill/>
          </a:ln>
          <a:effectLst>
            <a:outerShdw blurRad="254000" sx="102000" sy="102000" algn="ctr" rotWithShape="0">
              <a:prstClr val="black">
                <a:alpha val="20000"/>
              </a:prstClr>
            </a:outerShdw>
          </a:effectLst>
        </c:spPr>
      </c:pivotFmt>
      <c:pivotFmt>
        <c:idx val="12"/>
        <c:spPr>
          <a:solidFill>
            <a:schemeClr val="accent1"/>
          </a:solidFill>
          <a:ln>
            <a:noFill/>
          </a:ln>
          <a:effectLst>
            <a:outerShdw blurRad="254000" sx="102000" sy="102000" algn="ctr" rotWithShape="0">
              <a:prstClr val="black">
                <a:alpha val="20000"/>
              </a:prstClr>
            </a:outerShdw>
          </a:effectLst>
        </c:spPr>
      </c:pivotFmt>
      <c:pivotFmt>
        <c:idx val="13"/>
        <c:spPr>
          <a:solidFill>
            <a:schemeClr val="accent1"/>
          </a:solidFill>
          <a:ln>
            <a:noFill/>
          </a:ln>
          <a:effectLst>
            <a:outerShdw blurRad="254000" sx="102000" sy="102000" algn="ctr" rotWithShape="0">
              <a:prstClr val="black">
                <a:alpha val="20000"/>
              </a:prstClr>
            </a:outerShdw>
          </a:effectLst>
        </c:spPr>
      </c:pivotFmt>
    </c:pivotFmts>
    <c:plotArea>
      <c:layout>
        <c:manualLayout>
          <c:layoutTarget val="inner"/>
          <c:xMode val="edge"/>
          <c:yMode val="edge"/>
          <c:x val="3.7187288708586883E-2"/>
          <c:y val="0.25565062700495772"/>
          <c:w val="0.63118035701926711"/>
          <c:h val="0.69149314668999706"/>
        </c:manualLayout>
      </c:layout>
      <c:pieChart>
        <c:varyColors val="1"/>
        <c:ser>
          <c:idx val="0"/>
          <c:order val="0"/>
          <c:tx>
            <c:strRef>
              <c:f>Sheet1!$B$3</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EFB7-4177-A860-834E4C632FDC}"/>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EFB7-4177-A860-834E4C632FDC}"/>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EFB7-4177-A860-834E4C632FDC}"/>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EFB7-4177-A860-834E4C632FDC}"/>
              </c:ext>
            </c:extLst>
          </c:dPt>
          <c:dPt>
            <c:idx val="4"/>
            <c:bubble3D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9-EFB7-4177-A860-834E4C632FDC}"/>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Sheet1!$A$4:$A$9</c:f>
              <c:strCache>
                <c:ptCount val="5"/>
                <c:pt idx="0">
                  <c:v>Deluxe Suite</c:v>
                </c:pt>
                <c:pt idx="1">
                  <c:v>Executive Room</c:v>
                </c:pt>
                <c:pt idx="2">
                  <c:v>Family Villa</c:v>
                </c:pt>
                <c:pt idx="3">
                  <c:v>Presidential Suite</c:v>
                </c:pt>
                <c:pt idx="4">
                  <c:v>Standard Room</c:v>
                </c:pt>
              </c:strCache>
            </c:strRef>
          </c:cat>
          <c:val>
            <c:numRef>
              <c:f>Sheet1!$B$4:$B$9</c:f>
              <c:numCache>
                <c:formatCode>\$#,##0.00</c:formatCode>
                <c:ptCount val="5"/>
                <c:pt idx="0">
                  <c:v>2699</c:v>
                </c:pt>
                <c:pt idx="1">
                  <c:v>3009</c:v>
                </c:pt>
                <c:pt idx="2">
                  <c:v>4252</c:v>
                </c:pt>
                <c:pt idx="3">
                  <c:v>5336</c:v>
                </c:pt>
                <c:pt idx="4">
                  <c:v>1266</c:v>
                </c:pt>
              </c:numCache>
            </c:numRef>
          </c:val>
          <c:extLst>
            <c:ext xmlns:c16="http://schemas.microsoft.com/office/drawing/2014/chart" uri="{C3380CC4-5D6E-409C-BE32-E72D297353CC}">
              <c16:uniqueId val="{0000000A-EFB7-4177-A860-834E4C632FDC}"/>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[Hotel_Management_System_Final.xlsx]Sheet2!PivotTable1</c:name>
    <c:fmtId val="6"/>
  </c:pivotSource>
  <c:chart>
    <c:title>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Sheet2!$B$3</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Sheet2!$A$4:$A$12</c:f>
              <c:strCache>
                <c:ptCount val="8"/>
                <c:pt idx="0">
                  <c:v>Deluxe Suite</c:v>
                </c:pt>
                <c:pt idx="1">
                  <c:v>Executive Room</c:v>
                </c:pt>
                <c:pt idx="2">
                  <c:v>Family Villa</c:v>
                </c:pt>
                <c:pt idx="3">
                  <c:v>Grand Total</c:v>
                </c:pt>
                <c:pt idx="4">
                  <c:v>Maximum</c:v>
                </c:pt>
                <c:pt idx="5">
                  <c:v>Minimum</c:v>
                </c:pt>
                <c:pt idx="6">
                  <c:v>Presidential Suite</c:v>
                </c:pt>
                <c:pt idx="7">
                  <c:v>Standard Room</c:v>
                </c:pt>
              </c:strCache>
            </c:strRef>
          </c:cat>
          <c:val>
            <c:numRef>
              <c:f>Sheet2!$B$4:$B$12</c:f>
              <c:numCache>
                <c:formatCode>#,##0</c:formatCode>
                <c:ptCount val="8"/>
                <c:pt idx="0">
                  <c:v>87</c:v>
                </c:pt>
                <c:pt idx="1">
                  <c:v>110</c:v>
                </c:pt>
                <c:pt idx="2">
                  <c:v>99</c:v>
                </c:pt>
                <c:pt idx="3">
                  <c:v>500</c:v>
                </c:pt>
                <c:pt idx="4">
                  <c:v>118</c:v>
                </c:pt>
                <c:pt idx="5">
                  <c:v>86</c:v>
                </c:pt>
                <c:pt idx="6">
                  <c:v>118</c:v>
                </c:pt>
                <c:pt idx="7">
                  <c:v>86</c:v>
                </c:pt>
              </c:numCache>
            </c:numRef>
          </c:val>
          <c:extLst>
            <c:ext xmlns:c16="http://schemas.microsoft.com/office/drawing/2014/chart" uri="{C3380CC4-5D6E-409C-BE32-E72D297353CC}">
              <c16:uniqueId val="{00000001-A57C-4980-BC34-C686C8CA5142}"/>
            </c:ext>
          </c:extLst>
        </c:ser>
        <c:dLbls>
          <c:showLegendKey val="0"/>
          <c:showVal val="0"/>
          <c:showCatName val="0"/>
          <c:showSerName val="0"/>
          <c:showPercent val="0"/>
          <c:showBubbleSize val="0"/>
        </c:dLbls>
        <c:gapWidth val="100"/>
        <c:overlap val="-24"/>
        <c:axId val="2049443439"/>
        <c:axId val="2054548559"/>
      </c:barChart>
      <c:catAx>
        <c:axId val="2049443439"/>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4548559"/>
        <c:crosses val="autoZero"/>
        <c:auto val="1"/>
        <c:lblAlgn val="ctr"/>
        <c:lblOffset val="100"/>
        <c:noMultiLvlLbl val="0"/>
      </c:catAx>
      <c:valAx>
        <c:axId val="2054548559"/>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94434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[Hotel_Management_System_Final.xlsx]Sheet3!PivotTable3</c:name>
    <c:fmtId val="19"/>
  </c:pivotSource>
  <c:chart>
    <c:autoTitleDeleted val="0"/>
    <c:pivotFmts>
      <c:pivotFmt>
        <c:idx val="0"/>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Sheet3!$B$3</c:f>
              <c:strCache>
                <c:ptCount val="1"/>
                <c:pt idx="0">
                  <c:v>Sum of Room Rate ($)</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Sheet3!$A$4:$A$10</c:f>
              <c:strCache>
                <c:ptCount val="6"/>
                <c:pt idx="0">
                  <c:v>Agoda</c:v>
                </c:pt>
                <c:pt idx="1">
                  <c:v>Booking.com</c:v>
                </c:pt>
                <c:pt idx="2">
                  <c:v>Corporate Travel</c:v>
                </c:pt>
                <c:pt idx="3">
                  <c:v>Direct Website</c:v>
                </c:pt>
                <c:pt idx="4">
                  <c:v>Expedia</c:v>
                </c:pt>
                <c:pt idx="5">
                  <c:v>Walk-in</c:v>
                </c:pt>
              </c:strCache>
            </c:strRef>
          </c:cat>
          <c:val>
            <c:numRef>
              <c:f>Sheet3!$B$4:$B$10</c:f>
              <c:numCache>
                <c:formatCode>\$#,##0.00</c:formatCode>
                <c:ptCount val="6"/>
                <c:pt idx="0">
                  <c:v>4375</c:v>
                </c:pt>
                <c:pt idx="1">
                  <c:v>1448</c:v>
                </c:pt>
                <c:pt idx="2">
                  <c:v>3488</c:v>
                </c:pt>
                <c:pt idx="3">
                  <c:v>2190</c:v>
                </c:pt>
                <c:pt idx="4">
                  <c:v>4203</c:v>
                </c:pt>
                <c:pt idx="5">
                  <c:v>858</c:v>
                </c:pt>
              </c:numCache>
            </c:numRef>
          </c:val>
          <c:extLst>
            <c:ext xmlns:c16="http://schemas.microsoft.com/office/drawing/2014/chart" uri="{C3380CC4-5D6E-409C-BE32-E72D297353CC}">
              <c16:uniqueId val="{00000000-3378-419A-807C-76568BA53BFE}"/>
            </c:ext>
          </c:extLst>
        </c:ser>
        <c:ser>
          <c:idx val="1"/>
          <c:order val="1"/>
          <c:tx>
            <c:strRef>
              <c:f>Sheet3!$C$3</c:f>
              <c:strCache>
                <c:ptCount val="1"/>
                <c:pt idx="0">
                  <c:v>Sum of Nights</c:v>
                </c:pt>
              </c:strCache>
            </c:strRef>
          </c:tx>
          <c:spPr>
            <a:noFill/>
            <a:ln w="9525" cap="flat" cmpd="sng" algn="ctr">
              <a:solidFill>
                <a:schemeClr val="accent2"/>
              </a:solidFill>
              <a:miter lim="800000"/>
            </a:ln>
            <a:effectLst>
              <a:glow rad="63500">
                <a:schemeClr val="accent2">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Sheet3!$A$4:$A$10</c:f>
              <c:strCache>
                <c:ptCount val="6"/>
                <c:pt idx="0">
                  <c:v>Agoda</c:v>
                </c:pt>
                <c:pt idx="1">
                  <c:v>Booking.com</c:v>
                </c:pt>
                <c:pt idx="2">
                  <c:v>Corporate Travel</c:v>
                </c:pt>
                <c:pt idx="3">
                  <c:v>Direct Website</c:v>
                </c:pt>
                <c:pt idx="4">
                  <c:v>Expedia</c:v>
                </c:pt>
                <c:pt idx="5">
                  <c:v>Walk-in</c:v>
                </c:pt>
              </c:strCache>
            </c:strRef>
          </c:cat>
          <c:val>
            <c:numRef>
              <c:f>Sheet3!$C$4:$C$10</c:f>
              <c:numCache>
                <c:formatCode>General</c:formatCode>
                <c:ptCount val="6"/>
                <c:pt idx="0">
                  <c:v>36</c:v>
                </c:pt>
                <c:pt idx="1">
                  <c:v>9</c:v>
                </c:pt>
                <c:pt idx="2">
                  <c:v>30</c:v>
                </c:pt>
                <c:pt idx="3">
                  <c:v>21</c:v>
                </c:pt>
                <c:pt idx="4">
                  <c:v>36</c:v>
                </c:pt>
                <c:pt idx="5">
                  <c:v>9</c:v>
                </c:pt>
              </c:numCache>
            </c:numRef>
          </c:val>
          <c:extLst>
            <c:ext xmlns:c16="http://schemas.microsoft.com/office/drawing/2014/chart" uri="{C3380CC4-5D6E-409C-BE32-E72D297353CC}">
              <c16:uniqueId val="{00000001-3378-419A-807C-76568BA53BFE}"/>
            </c:ext>
          </c:extLst>
        </c:ser>
        <c:dLbls>
          <c:dLblPos val="outEnd"/>
          <c:showLegendKey val="0"/>
          <c:showVal val="1"/>
          <c:showCatName val="0"/>
          <c:showSerName val="0"/>
          <c:showPercent val="0"/>
          <c:showBubbleSize val="0"/>
        </c:dLbls>
        <c:gapWidth val="315"/>
        <c:overlap val="-40"/>
        <c:axId val="891212479"/>
        <c:axId val="371571823"/>
      </c:barChart>
      <c:catAx>
        <c:axId val="891212479"/>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371571823"/>
        <c:crosses val="autoZero"/>
        <c:auto val="1"/>
        <c:lblAlgn val="ctr"/>
        <c:lblOffset val="100"/>
        <c:noMultiLvlLbl val="0"/>
      </c:catAx>
      <c:valAx>
        <c:axId val="371571823"/>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8912124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[Hotel_Management_System_Final.xlsx]Sheet1!PivotTable1</c:name>
    <c:fmtId val="12"/>
  </c:pivotSource>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pPr>
            <a:solidFill>
              <a:schemeClr val="accent1">
                <a:alpha val="85000"/>
              </a:schemeClr>
            </a:solidFill>
            <a:ln>
              <a:noFill/>
            </a:ln>
            <a:effectLst/>
          </c:spPr>
        </c:marker>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marker>
          <c:spPr>
            <a:solidFill>
              <a:schemeClr val="accent1">
                <a:alpha val="85000"/>
              </a:schemeClr>
            </a:solidFill>
            <a:ln>
              <a:noFill/>
            </a:ln>
            <a:effectLst/>
          </c:spPr>
        </c:marker>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3"/>
        <c:spPr>
          <a:solidFill>
            <a:schemeClr val="accent1"/>
          </a:solidFill>
          <a:ln>
            <a:noFill/>
          </a:ln>
          <a:effectLst>
            <a:outerShdw blurRad="254000" sx="102000" sy="102000" algn="ctr" rotWithShape="0">
              <a:prstClr val="black">
                <a:alpha val="20000"/>
              </a:prstClr>
            </a:outerShdw>
          </a:effectLst>
        </c:spPr>
      </c:pivotFmt>
      <c:pivotFmt>
        <c:idx val="4"/>
        <c:spPr>
          <a:solidFill>
            <a:schemeClr val="accent1"/>
          </a:solidFill>
          <a:ln>
            <a:noFill/>
          </a:ln>
          <a:effectLst>
            <a:outerShdw blurRad="254000" sx="102000" sy="102000" algn="ctr" rotWithShape="0">
              <a:prstClr val="black">
                <a:alpha val="20000"/>
              </a:prstClr>
            </a:outerShdw>
          </a:effectLst>
        </c:spPr>
      </c:pivotFmt>
      <c:pivotFmt>
        <c:idx val="5"/>
        <c:spPr>
          <a:solidFill>
            <a:schemeClr val="accent1"/>
          </a:solidFill>
          <a:ln>
            <a:noFill/>
          </a:ln>
          <a:effectLst>
            <a:outerShdw blurRad="254000" sx="102000" sy="102000" algn="ctr" rotWithShape="0">
              <a:prstClr val="black">
                <a:alpha val="20000"/>
              </a:prstClr>
            </a:outerShdw>
          </a:effectLst>
        </c:spPr>
      </c:pivotFmt>
      <c:pivotFmt>
        <c:idx val="6"/>
        <c:spPr>
          <a:solidFill>
            <a:schemeClr val="accent1"/>
          </a:solidFill>
          <a:ln>
            <a:noFill/>
          </a:ln>
          <a:effectLst>
            <a:outerShdw blurRad="254000" sx="102000" sy="102000" algn="ctr" rotWithShape="0">
              <a:prstClr val="black">
                <a:alpha val="20000"/>
              </a:prstClr>
            </a:outerShdw>
          </a:effectLst>
        </c:spPr>
      </c:pivotFmt>
      <c:pivotFmt>
        <c:idx val="7"/>
        <c:spPr>
          <a:solidFill>
            <a:schemeClr val="accent1"/>
          </a:solidFill>
          <a:ln>
            <a:noFill/>
          </a:ln>
          <a:effectLst>
            <a:outerShdw blurRad="254000" sx="102000" sy="102000" algn="ctr" rotWithShape="0">
              <a:prstClr val="black">
                <a:alpha val="20000"/>
              </a:prstClr>
            </a:outerShdw>
          </a:effectLst>
        </c:spPr>
      </c:pivotFmt>
      <c:pivotFmt>
        <c:idx val="8"/>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accent1"/>
          </a:solidFill>
          <a:ln>
            <a:noFill/>
          </a:ln>
          <a:effectLst>
            <a:outerShdw blurRad="254000" sx="102000" sy="102000" algn="ctr" rotWithShape="0">
              <a:prstClr val="black">
                <a:alpha val="20000"/>
              </a:prstClr>
            </a:outerShdw>
          </a:effectLst>
        </c:spPr>
      </c:pivotFmt>
      <c:pivotFmt>
        <c:idx val="10"/>
        <c:spPr>
          <a:solidFill>
            <a:schemeClr val="accent1"/>
          </a:solidFill>
          <a:ln>
            <a:noFill/>
          </a:ln>
          <a:effectLst>
            <a:outerShdw blurRad="254000" sx="102000" sy="102000" algn="ctr" rotWithShape="0">
              <a:prstClr val="black">
                <a:alpha val="20000"/>
              </a:prstClr>
            </a:outerShdw>
          </a:effectLst>
        </c:spPr>
      </c:pivotFmt>
      <c:pivotFmt>
        <c:idx val="11"/>
        <c:spPr>
          <a:solidFill>
            <a:schemeClr val="accent1"/>
          </a:solidFill>
          <a:ln>
            <a:noFill/>
          </a:ln>
          <a:effectLst>
            <a:outerShdw blurRad="254000" sx="102000" sy="102000" algn="ctr" rotWithShape="0">
              <a:prstClr val="black">
                <a:alpha val="20000"/>
              </a:prstClr>
            </a:outerShdw>
          </a:effectLst>
        </c:spPr>
      </c:pivotFmt>
      <c:pivotFmt>
        <c:idx val="12"/>
        <c:spPr>
          <a:solidFill>
            <a:schemeClr val="accent1"/>
          </a:solidFill>
          <a:ln>
            <a:noFill/>
          </a:ln>
          <a:effectLst>
            <a:outerShdw blurRad="254000" sx="102000" sy="102000" algn="ctr" rotWithShape="0">
              <a:prstClr val="black">
                <a:alpha val="20000"/>
              </a:prstClr>
            </a:outerShdw>
          </a:effectLst>
        </c:spPr>
      </c:pivotFmt>
      <c:pivotFmt>
        <c:idx val="13"/>
        <c:spPr>
          <a:solidFill>
            <a:schemeClr val="accent1"/>
          </a:solidFill>
          <a:ln>
            <a:noFill/>
          </a:ln>
          <a:effectLst>
            <a:outerShdw blurRad="254000" sx="102000" sy="102000" algn="ctr" rotWithShape="0">
              <a:prstClr val="black">
                <a:alpha val="20000"/>
              </a:prstClr>
            </a:outerShdw>
          </a:effectLst>
        </c:spPr>
      </c:pivotFmt>
      <c:pivotFmt>
        <c:idx val="14"/>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5"/>
        <c:spPr>
          <a:solidFill>
            <a:schemeClr val="accent1"/>
          </a:solidFill>
          <a:ln>
            <a:noFill/>
          </a:ln>
          <a:effectLst>
            <a:outerShdw blurRad="254000" sx="102000" sy="102000" algn="ctr" rotWithShape="0">
              <a:prstClr val="black">
                <a:alpha val="20000"/>
              </a:prstClr>
            </a:outerShdw>
          </a:effectLst>
        </c:spPr>
      </c:pivotFmt>
      <c:pivotFmt>
        <c:idx val="16"/>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a:outerShdw blurRad="254000" sx="102000" sy="102000" algn="ctr" rotWithShape="0">
              <a:prstClr val="black">
                <a:alpha val="20000"/>
              </a:prstClr>
            </a:outerShdw>
          </a:effectLst>
        </c:spPr>
      </c:pivotFmt>
    </c:pivotFmts>
    <c:plotArea>
      <c:layout>
        <c:manualLayout>
          <c:layoutTarget val="inner"/>
          <c:xMode val="edge"/>
          <c:yMode val="edge"/>
          <c:x val="3.7187288708586883E-2"/>
          <c:y val="0.25565062700495772"/>
          <c:w val="0.63118035701926711"/>
          <c:h val="0.69149314668999706"/>
        </c:manualLayout>
      </c:layout>
      <c:pieChart>
        <c:varyColors val="1"/>
        <c:ser>
          <c:idx val="0"/>
          <c:order val="0"/>
          <c:tx>
            <c:strRef>
              <c:f>Sheet1!$B$3</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CDD4-4CEA-AE2A-C144EC9E5939}"/>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CDD4-4CEA-AE2A-C144EC9E5939}"/>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CDD4-4CEA-AE2A-C144EC9E5939}"/>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CDD4-4CEA-AE2A-C144EC9E5939}"/>
              </c:ext>
            </c:extLst>
          </c:dPt>
          <c:dPt>
            <c:idx val="4"/>
            <c:bubble3D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9-CDD4-4CEA-AE2A-C144EC9E5939}"/>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Sheet1!$A$4:$A$9</c:f>
              <c:strCache>
                <c:ptCount val="5"/>
                <c:pt idx="0">
                  <c:v>Deluxe Suite</c:v>
                </c:pt>
                <c:pt idx="1">
                  <c:v>Executive Room</c:v>
                </c:pt>
                <c:pt idx="2">
                  <c:v>Family Villa</c:v>
                </c:pt>
                <c:pt idx="3">
                  <c:v>Presidential Suite</c:v>
                </c:pt>
                <c:pt idx="4">
                  <c:v>Standard Room</c:v>
                </c:pt>
              </c:strCache>
            </c:strRef>
          </c:cat>
          <c:val>
            <c:numRef>
              <c:f>Sheet1!$B$4:$B$9</c:f>
              <c:numCache>
                <c:formatCode>\$#,##0.00</c:formatCode>
                <c:ptCount val="5"/>
                <c:pt idx="0">
                  <c:v>2699</c:v>
                </c:pt>
                <c:pt idx="1">
                  <c:v>3009</c:v>
                </c:pt>
                <c:pt idx="2">
                  <c:v>4252</c:v>
                </c:pt>
                <c:pt idx="3">
                  <c:v>5336</c:v>
                </c:pt>
                <c:pt idx="4">
                  <c:v>1266</c:v>
                </c:pt>
              </c:numCache>
            </c:numRef>
          </c:val>
          <c:extLst>
            <c:ext xmlns:c16="http://schemas.microsoft.com/office/drawing/2014/chart" uri="{C3380CC4-5D6E-409C-BE32-E72D297353CC}">
              <c16:uniqueId val="{0000000A-CDD4-4CEA-AE2A-C144EC9E5939}"/>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[Hotel_Management_System_Final.xlsx]Sheet2!PivotTable1</c:name>
    <c:fmtId val="14"/>
  </c:pivotSource>
  <c:chart>
    <c:title>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Sheet2!$B$3</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Sheet2!$A$4:$A$12</c:f>
              <c:strCache>
                <c:ptCount val="8"/>
                <c:pt idx="0">
                  <c:v>Deluxe Suite</c:v>
                </c:pt>
                <c:pt idx="1">
                  <c:v>Executive Room</c:v>
                </c:pt>
                <c:pt idx="2">
                  <c:v>Family Villa</c:v>
                </c:pt>
                <c:pt idx="3">
                  <c:v>Grand Total</c:v>
                </c:pt>
                <c:pt idx="4">
                  <c:v>Maximum</c:v>
                </c:pt>
                <c:pt idx="5">
                  <c:v>Minimum</c:v>
                </c:pt>
                <c:pt idx="6">
                  <c:v>Presidential Suite</c:v>
                </c:pt>
                <c:pt idx="7">
                  <c:v>Standard Room</c:v>
                </c:pt>
              </c:strCache>
            </c:strRef>
          </c:cat>
          <c:val>
            <c:numRef>
              <c:f>Sheet2!$B$4:$B$12</c:f>
              <c:numCache>
                <c:formatCode>#,##0</c:formatCode>
                <c:ptCount val="8"/>
                <c:pt idx="0">
                  <c:v>87</c:v>
                </c:pt>
                <c:pt idx="1">
                  <c:v>110</c:v>
                </c:pt>
                <c:pt idx="2">
                  <c:v>99</c:v>
                </c:pt>
                <c:pt idx="3">
                  <c:v>500</c:v>
                </c:pt>
                <c:pt idx="4">
                  <c:v>118</c:v>
                </c:pt>
                <c:pt idx="5">
                  <c:v>86</c:v>
                </c:pt>
                <c:pt idx="6">
                  <c:v>118</c:v>
                </c:pt>
                <c:pt idx="7">
                  <c:v>86</c:v>
                </c:pt>
              </c:numCache>
            </c:numRef>
          </c:val>
          <c:extLst>
            <c:ext xmlns:c16="http://schemas.microsoft.com/office/drawing/2014/chart" uri="{C3380CC4-5D6E-409C-BE32-E72D297353CC}">
              <c16:uniqueId val="{00000001-39A7-4327-87C0-0F2A1E15278C}"/>
            </c:ext>
          </c:extLst>
        </c:ser>
        <c:dLbls>
          <c:dLblPos val="outEnd"/>
          <c:showLegendKey val="0"/>
          <c:showVal val="1"/>
          <c:showCatName val="0"/>
          <c:showSerName val="0"/>
          <c:showPercent val="0"/>
          <c:showBubbleSize val="0"/>
        </c:dLbls>
        <c:gapWidth val="100"/>
        <c:overlap val="-24"/>
        <c:axId val="2049443439"/>
        <c:axId val="2054548559"/>
      </c:barChart>
      <c:catAx>
        <c:axId val="2049443439"/>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4548559"/>
        <c:crosses val="autoZero"/>
        <c:auto val="1"/>
        <c:lblAlgn val="ctr"/>
        <c:lblOffset val="100"/>
        <c:noMultiLvlLbl val="0"/>
      </c:catAx>
      <c:valAx>
        <c:axId val="2054548559"/>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9443439"/>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6</xdr:col>
      <xdr:colOff>1736205</xdr:colOff>
      <xdr:row>5</xdr:row>
      <xdr:rowOff>148243</xdr:rowOff>
    </xdr:from>
    <xdr:to>
      <xdr:col>7</xdr:col>
      <xdr:colOff>1358669</xdr:colOff>
      <xdr:row>19</xdr:row>
      <xdr:rowOff>41564</xdr:rowOff>
    </xdr:to>
    <mc:AlternateContent xmlns:mc="http://schemas.openxmlformats.org/markup-compatibility/2006">
      <mc:Choice xmlns:a14="http://schemas.microsoft.com/office/drawing/2010/main" Requires="a14">
        <xdr:graphicFrame macro="">
          <xdr:nvGraphicFramePr>
            <xdr:cNvPr id="6" name="Nights 1">
              <a:extLst>
                <a:ext uri="{FF2B5EF4-FFF2-40B4-BE49-F238E27FC236}">
                  <a16:creationId xmlns:a16="http://schemas.microsoft.com/office/drawing/2014/main" id="{FCCEADAC-9C51-18E4-FFBD-232EE5E0CCEE}"/>
                </a:ext>
              </a:extLst>
            </xdr:cNvPr>
            <xdr:cNvGraphicFramePr/>
          </xdr:nvGraphicFramePr>
          <xdr:xfrm>
            <a:off x="0" y="0"/>
            <a:ext cx="0" cy="0"/>
          </xdr:xfrm>
          <a:graphic>
            <a:graphicData uri="http://schemas.microsoft.com/office/drawing/2010/slicer">
              <sle:slicer xmlns:sle="http://schemas.microsoft.com/office/drawing/2010/slicer" name="Nights 1"/>
            </a:graphicData>
          </a:graphic>
        </xdr:graphicFrame>
      </mc:Choice>
      <mc:Fallback>
        <xdr:sp macro="" textlink="">
          <xdr:nvSpPr>
            <xdr:cNvPr id="0" name=""/>
            <xdr:cNvSpPr>
              <a:spLocks noTextEdit="1"/>
            </xdr:cNvSpPr>
          </xdr:nvSpPr>
          <xdr:spPr>
            <a:xfrm>
              <a:off x="11094518" y="1449993"/>
              <a:ext cx="1376651" cy="246507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0</xdr:colOff>
      <xdr:row>3</xdr:row>
      <xdr:rowOff>68580</xdr:rowOff>
    </xdr:from>
    <xdr:to>
      <xdr:col>3</xdr:col>
      <xdr:colOff>457200</xdr:colOff>
      <xdr:row>22</xdr:row>
      <xdr:rowOff>53340</xdr:rowOff>
    </xdr:to>
    <xdr:graphicFrame macro="">
      <xdr:nvGraphicFramePr>
        <xdr:cNvPr id="5" name="Chart 1">
          <a:extLst>
            <a:ext uri="{FF2B5EF4-FFF2-40B4-BE49-F238E27FC236}">
              <a16:creationId xmlns:a16="http://schemas.microsoft.com/office/drawing/2014/main" id="{31EE31F7-ADA4-1726-F194-A11ACD346B1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23091</xdr:colOff>
      <xdr:row>3</xdr:row>
      <xdr:rowOff>99060</xdr:rowOff>
    </xdr:from>
    <xdr:to>
      <xdr:col>6</xdr:col>
      <xdr:colOff>1212272</xdr:colOff>
      <xdr:row>22</xdr:row>
      <xdr:rowOff>22860</xdr:rowOff>
    </xdr:to>
    <xdr:graphicFrame macro="">
      <xdr:nvGraphicFramePr>
        <xdr:cNvPr id="8" name="Chart 1">
          <a:extLst>
            <a:ext uri="{FF2B5EF4-FFF2-40B4-BE49-F238E27FC236}">
              <a16:creationId xmlns:a16="http://schemas.microsoft.com/office/drawing/2014/main" id="{205CA739-5BF5-73CB-E684-804CE174C7E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1325187</xdr:colOff>
      <xdr:row>24</xdr:row>
      <xdr:rowOff>21937</xdr:rowOff>
    </xdr:from>
    <xdr:to>
      <xdr:col>3</xdr:col>
      <xdr:colOff>685338</xdr:colOff>
      <xdr:row>40</xdr:row>
      <xdr:rowOff>127001</xdr:rowOff>
    </xdr:to>
    <xdr:graphicFrame macro="">
      <xdr:nvGraphicFramePr>
        <xdr:cNvPr id="9" name="Chart 1">
          <a:extLst>
            <a:ext uri="{FF2B5EF4-FFF2-40B4-BE49-F238E27FC236}">
              <a16:creationId xmlns:a16="http://schemas.microsoft.com/office/drawing/2014/main" id="{4F4A1487-B72E-7D66-C3CA-BF19CC7A410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3</xdr:row>
      <xdr:rowOff>68580</xdr:rowOff>
    </xdr:from>
    <xdr:to>
      <xdr:col>3</xdr:col>
      <xdr:colOff>1177636</xdr:colOff>
      <xdr:row>22</xdr:row>
      <xdr:rowOff>53340</xdr:rowOff>
    </xdr:to>
    <xdr:graphicFrame macro="">
      <xdr:nvGraphicFramePr>
        <xdr:cNvPr id="10" name="Chart 1">
          <a:extLst>
            <a:ext uri="{FF2B5EF4-FFF2-40B4-BE49-F238E27FC236}">
              <a16:creationId xmlns:a16="http://schemas.microsoft.com/office/drawing/2014/main" id="{EC326B6A-B9CA-46DA-A34D-447FD4A60DA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xdr:col>
      <xdr:colOff>25860</xdr:colOff>
      <xdr:row>3</xdr:row>
      <xdr:rowOff>87514</xdr:rowOff>
    </xdr:from>
    <xdr:to>
      <xdr:col>6</xdr:col>
      <xdr:colOff>1212272</xdr:colOff>
      <xdr:row>22</xdr:row>
      <xdr:rowOff>11314</xdr:rowOff>
    </xdr:to>
    <xdr:graphicFrame macro="">
      <xdr:nvGraphicFramePr>
        <xdr:cNvPr id="11" name="Chart 1">
          <a:extLst>
            <a:ext uri="{FF2B5EF4-FFF2-40B4-BE49-F238E27FC236}">
              <a16:creationId xmlns:a16="http://schemas.microsoft.com/office/drawing/2014/main" id="{B810E24D-B1B6-4416-BC2E-4B570C649F0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57727</xdr:colOff>
      <xdr:row>23</xdr:row>
      <xdr:rowOff>34636</xdr:rowOff>
    </xdr:from>
    <xdr:to>
      <xdr:col>3</xdr:col>
      <xdr:colOff>1154546</xdr:colOff>
      <xdr:row>40</xdr:row>
      <xdr:rowOff>169255</xdr:rowOff>
    </xdr:to>
    <xdr:graphicFrame macro="">
      <xdr:nvGraphicFramePr>
        <xdr:cNvPr id="12" name="Chart 1">
          <a:extLst>
            <a:ext uri="{FF2B5EF4-FFF2-40B4-BE49-F238E27FC236}">
              <a16:creationId xmlns:a16="http://schemas.microsoft.com/office/drawing/2014/main" id="{7D04F95B-B71B-4727-88EA-937864E4D82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5</xdr:col>
      <xdr:colOff>946727</xdr:colOff>
      <xdr:row>24</xdr:row>
      <xdr:rowOff>57727</xdr:rowOff>
    </xdr:from>
    <xdr:to>
      <xdr:col>6</xdr:col>
      <xdr:colOff>997527</xdr:colOff>
      <xdr:row>37</xdr:row>
      <xdr:rowOff>111702</xdr:rowOff>
    </xdr:to>
    <mc:AlternateContent xmlns:mc="http://schemas.openxmlformats.org/markup-compatibility/2006">
      <mc:Choice xmlns:a14="http://schemas.microsoft.com/office/drawing/2010/main" Requires="a14">
        <xdr:graphicFrame macro="">
          <xdr:nvGraphicFramePr>
            <xdr:cNvPr id="14" name="Room Type 1">
              <a:extLst>
                <a:ext uri="{FF2B5EF4-FFF2-40B4-BE49-F238E27FC236}">
                  <a16:creationId xmlns:a16="http://schemas.microsoft.com/office/drawing/2014/main" id="{2E7990E6-1000-489E-92AD-16F2A14BBD47}"/>
                </a:ext>
              </a:extLst>
            </xdr:cNvPr>
            <xdr:cNvGraphicFramePr/>
          </xdr:nvGraphicFramePr>
          <xdr:xfrm>
            <a:off x="0" y="0"/>
            <a:ext cx="0" cy="0"/>
          </xdr:xfrm>
          <a:graphic>
            <a:graphicData uri="http://schemas.microsoft.com/office/drawing/2010/slicer">
              <sle:slicer xmlns:sle="http://schemas.microsoft.com/office/drawing/2010/slicer" name="Room Type 1"/>
            </a:graphicData>
          </a:graphic>
        </xdr:graphicFrame>
      </mc:Choice>
      <mc:Fallback>
        <xdr:sp macro="" textlink="">
          <xdr:nvSpPr>
            <xdr:cNvPr id="0" name=""/>
            <xdr:cNvSpPr>
              <a:spLocks noTextEdit="1"/>
            </xdr:cNvSpPr>
          </xdr:nvSpPr>
          <xdr:spPr>
            <a:xfrm>
              <a:off x="8527040" y="4844040"/>
              <a:ext cx="1828800" cy="244316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1595437</xdr:colOff>
      <xdr:row>24</xdr:row>
      <xdr:rowOff>71438</xdr:rowOff>
    </xdr:from>
    <xdr:to>
      <xdr:col>5</xdr:col>
      <xdr:colOff>479424</xdr:colOff>
      <xdr:row>37</xdr:row>
      <xdr:rowOff>149226</xdr:rowOff>
    </xdr:to>
    <mc:AlternateContent xmlns:mc="http://schemas.openxmlformats.org/markup-compatibility/2006">
      <mc:Choice xmlns:a14="http://schemas.microsoft.com/office/drawing/2010/main" Requires="a14">
        <xdr:graphicFrame macro="">
          <xdr:nvGraphicFramePr>
            <xdr:cNvPr id="15" name="Total Bookings 1">
              <a:extLst>
                <a:ext uri="{FF2B5EF4-FFF2-40B4-BE49-F238E27FC236}">
                  <a16:creationId xmlns:a16="http://schemas.microsoft.com/office/drawing/2014/main" id="{3318AFA6-1A11-4EE6-BD4A-8D204FBAC4D8}"/>
                </a:ext>
              </a:extLst>
            </xdr:cNvPr>
            <xdr:cNvGraphicFramePr/>
          </xdr:nvGraphicFramePr>
          <xdr:xfrm>
            <a:off x="0" y="0"/>
            <a:ext cx="0" cy="0"/>
          </xdr:xfrm>
          <a:graphic>
            <a:graphicData uri="http://schemas.microsoft.com/office/drawing/2010/slicer">
              <sle:slicer xmlns:sle="http://schemas.microsoft.com/office/drawing/2010/slicer" name="Total Bookings 1"/>
            </a:graphicData>
          </a:graphic>
        </xdr:graphicFrame>
      </mc:Choice>
      <mc:Fallback>
        <xdr:sp macro="" textlink="">
          <xdr:nvSpPr>
            <xdr:cNvPr id="0" name=""/>
            <xdr:cNvSpPr>
              <a:spLocks noTextEdit="1"/>
            </xdr:cNvSpPr>
          </xdr:nvSpPr>
          <xdr:spPr>
            <a:xfrm>
              <a:off x="6230937" y="4857751"/>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oneCell">
    <xdr:from>
      <xdr:col>6</xdr:col>
      <xdr:colOff>129540</xdr:colOff>
      <xdr:row>2</xdr:row>
      <xdr:rowOff>38100</xdr:rowOff>
    </xdr:from>
    <xdr:to>
      <xdr:col>9</xdr:col>
      <xdr:colOff>129540</xdr:colOff>
      <xdr:row>15</xdr:row>
      <xdr:rowOff>127635</xdr:rowOff>
    </xdr:to>
    <mc:AlternateContent xmlns:mc="http://schemas.openxmlformats.org/markup-compatibility/2006">
      <mc:Choice xmlns:a14="http://schemas.microsoft.com/office/drawing/2010/main" Requires="a14">
        <xdr:graphicFrame macro="">
          <xdr:nvGraphicFramePr>
            <xdr:cNvPr id="3" name="Room Type">
              <a:extLst>
                <a:ext uri="{FF2B5EF4-FFF2-40B4-BE49-F238E27FC236}">
                  <a16:creationId xmlns:a16="http://schemas.microsoft.com/office/drawing/2014/main" id="{83A816A3-5CFC-8051-8E53-912B64D39D58}"/>
                </a:ext>
              </a:extLst>
            </xdr:cNvPr>
            <xdr:cNvGraphicFramePr/>
          </xdr:nvGraphicFramePr>
          <xdr:xfrm>
            <a:off x="0" y="0"/>
            <a:ext cx="0" cy="0"/>
          </xdr:xfrm>
          <a:graphic>
            <a:graphicData uri="http://schemas.microsoft.com/office/drawing/2010/slicer">
              <sle:slicer xmlns:sle="http://schemas.microsoft.com/office/drawing/2010/slicer" name="Room Type"/>
            </a:graphicData>
          </a:graphic>
        </xdr:graphicFrame>
      </mc:Choice>
      <mc:Fallback>
        <xdr:sp macro="" textlink="">
          <xdr:nvSpPr>
            <xdr:cNvPr id="0" name=""/>
            <xdr:cNvSpPr>
              <a:spLocks noTextEdit="1"/>
            </xdr:cNvSpPr>
          </xdr:nvSpPr>
          <xdr:spPr>
            <a:xfrm>
              <a:off x="4968240" y="40386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281940</xdr:colOff>
      <xdr:row>2</xdr:row>
      <xdr:rowOff>22860</xdr:rowOff>
    </xdr:from>
    <xdr:to>
      <xdr:col>5</xdr:col>
      <xdr:colOff>281940</xdr:colOff>
      <xdr:row>15</xdr:row>
      <xdr:rowOff>112395</xdr:rowOff>
    </xdr:to>
    <mc:AlternateContent xmlns:mc="http://schemas.openxmlformats.org/markup-compatibility/2006">
      <mc:Choice xmlns:a14="http://schemas.microsoft.com/office/drawing/2010/main" Requires="a14">
        <xdr:graphicFrame macro="">
          <xdr:nvGraphicFramePr>
            <xdr:cNvPr id="5" name="Total Bookings">
              <a:extLst>
                <a:ext uri="{FF2B5EF4-FFF2-40B4-BE49-F238E27FC236}">
                  <a16:creationId xmlns:a16="http://schemas.microsoft.com/office/drawing/2014/main" id="{1AB42610-B3D1-7C1D-98F5-F4BF72DB4E18}"/>
                </a:ext>
              </a:extLst>
            </xdr:cNvPr>
            <xdr:cNvGraphicFramePr/>
          </xdr:nvGraphicFramePr>
          <xdr:xfrm>
            <a:off x="0" y="0"/>
            <a:ext cx="0" cy="0"/>
          </xdr:xfrm>
          <a:graphic>
            <a:graphicData uri="http://schemas.microsoft.com/office/drawing/2010/slicer">
              <sle:slicer xmlns:sle="http://schemas.microsoft.com/office/drawing/2010/slicer" name="Total Bookings"/>
            </a:graphicData>
          </a:graphic>
        </xdr:graphicFrame>
      </mc:Choice>
      <mc:Fallback>
        <xdr:sp macro="" textlink="">
          <xdr:nvSpPr>
            <xdr:cNvPr id="0" name=""/>
            <xdr:cNvSpPr>
              <a:spLocks noTextEdit="1"/>
            </xdr:cNvSpPr>
          </xdr:nvSpPr>
          <xdr:spPr>
            <a:xfrm>
              <a:off x="2682240" y="38862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editAs="oneCell">
    <xdr:from>
      <xdr:col>5</xdr:col>
      <xdr:colOff>30480</xdr:colOff>
      <xdr:row>1</xdr:row>
      <xdr:rowOff>167640</xdr:rowOff>
    </xdr:from>
    <xdr:to>
      <xdr:col>8</xdr:col>
      <xdr:colOff>30480</xdr:colOff>
      <xdr:row>15</xdr:row>
      <xdr:rowOff>74295</xdr:rowOff>
    </xdr:to>
    <mc:AlternateContent xmlns:mc="http://schemas.openxmlformats.org/markup-compatibility/2006">
      <mc:Choice xmlns:a14="http://schemas.microsoft.com/office/drawing/2010/main" Requires="a14">
        <xdr:graphicFrame macro="">
          <xdr:nvGraphicFramePr>
            <xdr:cNvPr id="3" name="Nights">
              <a:extLst>
                <a:ext uri="{FF2B5EF4-FFF2-40B4-BE49-F238E27FC236}">
                  <a16:creationId xmlns:a16="http://schemas.microsoft.com/office/drawing/2014/main" id="{9E91294E-FDC6-5E87-3E16-52D13A21737F}"/>
                </a:ext>
              </a:extLst>
            </xdr:cNvPr>
            <xdr:cNvGraphicFramePr/>
          </xdr:nvGraphicFramePr>
          <xdr:xfrm>
            <a:off x="0" y="0"/>
            <a:ext cx="0" cy="0"/>
          </xdr:xfrm>
          <a:graphic>
            <a:graphicData uri="http://schemas.microsoft.com/office/drawing/2010/slicer">
              <sle:slicer xmlns:sle="http://schemas.microsoft.com/office/drawing/2010/slicer" name="Nights"/>
            </a:graphicData>
          </a:graphic>
        </xdr:graphicFrame>
      </mc:Choice>
      <mc:Fallback>
        <xdr:sp macro="" textlink="">
          <xdr:nvSpPr>
            <xdr:cNvPr id="0" name=""/>
            <xdr:cNvSpPr>
              <a:spLocks noTextEdit="1"/>
            </xdr:cNvSpPr>
          </xdr:nvSpPr>
          <xdr:spPr>
            <a:xfrm>
              <a:off x="5585460" y="35052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121920</xdr:colOff>
      <xdr:row>2</xdr:row>
      <xdr:rowOff>7620</xdr:rowOff>
    </xdr:from>
    <xdr:to>
      <xdr:col>4</xdr:col>
      <xdr:colOff>403860</xdr:colOff>
      <xdr:row>15</xdr:row>
      <xdr:rowOff>97155</xdr:rowOff>
    </xdr:to>
    <mc:AlternateContent xmlns:mc="http://schemas.openxmlformats.org/markup-compatibility/2006">
      <mc:Choice xmlns:a14="http://schemas.microsoft.com/office/drawing/2010/main" Requires="a14">
        <xdr:graphicFrame macro="">
          <xdr:nvGraphicFramePr>
            <xdr:cNvPr id="4" name="Room Rate ($)">
              <a:extLst>
                <a:ext uri="{FF2B5EF4-FFF2-40B4-BE49-F238E27FC236}">
                  <a16:creationId xmlns:a16="http://schemas.microsoft.com/office/drawing/2014/main" id="{EE6951AA-6352-F51E-C4BD-AE91CEA4DD00}"/>
                </a:ext>
              </a:extLst>
            </xdr:cNvPr>
            <xdr:cNvGraphicFramePr/>
          </xdr:nvGraphicFramePr>
          <xdr:xfrm>
            <a:off x="0" y="0"/>
            <a:ext cx="0" cy="0"/>
          </xdr:xfrm>
          <a:graphic>
            <a:graphicData uri="http://schemas.microsoft.com/office/drawing/2010/slicer">
              <sle:slicer xmlns:sle="http://schemas.microsoft.com/office/drawing/2010/slicer" name="Room Rate ($)"/>
            </a:graphicData>
          </a:graphic>
        </xdr:graphicFrame>
      </mc:Choice>
      <mc:Fallback>
        <xdr:sp macro="" textlink="">
          <xdr:nvSpPr>
            <xdr:cNvPr id="0" name=""/>
            <xdr:cNvSpPr>
              <a:spLocks noTextEdit="1"/>
            </xdr:cNvSpPr>
          </xdr:nvSpPr>
          <xdr:spPr>
            <a:xfrm>
              <a:off x="3520440" y="37338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thish Raja" refreshedDate="46255.906698495368" createdVersion="8" refreshedVersion="8" minRefreshableVersion="3" recordCount="500" xr:uid="{BC3F3C3A-D095-4798-A66D-D9B07695ABEB}">
  <cacheSource type="worksheet">
    <worksheetSource name="HotelBookingsTable"/>
  </cacheSource>
  <cacheFields count="13">
    <cacheField name="Booking ID" numFmtId="0">
      <sharedItems count="500">
        <s v="HTL-0001"/>
        <s v="HTL-0002"/>
        <s v="HTL-0003"/>
        <s v="HTL-0004"/>
        <s v="HTL-0005"/>
        <s v="HTL-0006"/>
        <s v="HTL-0007"/>
        <s v="HTL-0008"/>
        <s v="HTL-0009"/>
        <s v="HTL-0010"/>
        <s v="HTL-0011"/>
        <s v="HTL-0012"/>
        <s v="HTL-0013"/>
        <s v="HTL-0014"/>
        <s v="HTL-0015"/>
        <s v="HTL-0016"/>
        <s v="HTL-0017"/>
        <s v="HTL-0018"/>
        <s v="HTL-0019"/>
        <s v="HTL-0020"/>
        <s v="HTL-0021"/>
        <s v="HTL-0022"/>
        <s v="HTL-0023"/>
        <s v="HTL-0024"/>
        <s v="HTL-0025"/>
        <s v="HTL-0026"/>
        <s v="HTL-0027"/>
        <s v="HTL-0028"/>
        <s v="HTL-0029"/>
        <s v="HTL-0030"/>
        <s v="HTL-0031"/>
        <s v="HTL-0032"/>
        <s v="HTL-0033"/>
        <s v="HTL-0034"/>
        <s v="HTL-0035"/>
        <s v="HTL-0036"/>
        <s v="HTL-0037"/>
        <s v="HTL-0038"/>
        <s v="HTL-0039"/>
        <s v="HTL-0040"/>
        <s v="HTL-0041"/>
        <s v="HTL-0042"/>
        <s v="HTL-0043"/>
        <s v="HTL-0044"/>
        <s v="HTL-0045"/>
        <s v="HTL-0046"/>
        <s v="HTL-0047"/>
        <s v="HTL-0048"/>
        <s v="HTL-0049"/>
        <s v="HTL-0050"/>
        <s v="HTL-0051"/>
        <s v="HTL-0052"/>
        <s v="HTL-0053"/>
        <s v="HTL-0054"/>
        <s v="HTL-0055"/>
        <s v="HTL-0056"/>
        <s v="HTL-0057"/>
        <s v="HTL-0058"/>
        <s v="HTL-0059"/>
        <s v="HTL-0060"/>
        <s v="HTL-0061"/>
        <s v="HTL-0062"/>
        <s v="HTL-0063"/>
        <s v="HTL-0064"/>
        <s v="HTL-0065"/>
        <s v="HTL-0066"/>
        <s v="HTL-0067"/>
        <s v="HTL-0068"/>
        <s v="HTL-0069"/>
        <s v="HTL-0070"/>
        <s v="HTL-0071"/>
        <s v="HTL-0072"/>
        <s v="HTL-0073"/>
        <s v="HTL-0074"/>
        <s v="HTL-0075"/>
        <s v="HTL-0076"/>
        <s v="HTL-0077"/>
        <s v="HTL-0078"/>
        <s v="HTL-0079"/>
        <s v="HTL-0080"/>
        <s v="HTL-0081"/>
        <s v="HTL-0082"/>
        <s v="HTL-0083"/>
        <s v="HTL-0084"/>
        <s v="HTL-0085"/>
        <s v="HTL-0086"/>
        <s v="HTL-0087"/>
        <s v="HTL-0088"/>
        <s v="HTL-0089"/>
        <s v="HTL-0090"/>
        <s v="HTL-0091"/>
        <s v="HTL-0092"/>
        <s v="HTL-0093"/>
        <s v="HTL-0094"/>
        <s v="HTL-0095"/>
        <s v="HTL-0096"/>
        <s v="HTL-0097"/>
        <s v="HTL-0098"/>
        <s v="HTL-0099"/>
        <s v="HTL-0100"/>
        <s v="HTL-0101"/>
        <s v="HTL-0102"/>
        <s v="HTL-0103"/>
        <s v="HTL-0104"/>
        <s v="HTL-0105"/>
        <s v="HTL-0106"/>
        <s v="HTL-0107"/>
        <s v="HTL-0108"/>
        <s v="HTL-0109"/>
        <s v="HTL-0110"/>
        <s v="HTL-0111"/>
        <s v="HTL-0112"/>
        <s v="HTL-0113"/>
        <s v="HTL-0114"/>
        <s v="HTL-0115"/>
        <s v="HTL-0116"/>
        <s v="HTL-0117"/>
        <s v="HTL-0118"/>
        <s v="HTL-0119"/>
        <s v="HTL-0120"/>
        <s v="HTL-0121"/>
        <s v="HTL-0122"/>
        <s v="HTL-0123"/>
        <s v="HTL-0124"/>
        <s v="HTL-0125"/>
        <s v="HTL-0126"/>
        <s v="HTL-0127"/>
        <s v="HTL-0128"/>
        <s v="HTL-0129"/>
        <s v="HTL-0130"/>
        <s v="HTL-0131"/>
        <s v="HTL-0132"/>
        <s v="HTL-0133"/>
        <s v="HTL-0134"/>
        <s v="HTL-0135"/>
        <s v="HTL-0136"/>
        <s v="HTL-0137"/>
        <s v="HTL-0138"/>
        <s v="HTL-0139"/>
        <s v="HTL-0140"/>
        <s v="HTL-0141"/>
        <s v="HTL-0142"/>
        <s v="HTL-0143"/>
        <s v="HTL-0144"/>
        <s v="HTL-0145"/>
        <s v="HTL-0146"/>
        <s v="HTL-0147"/>
        <s v="HTL-0148"/>
        <s v="HTL-0149"/>
        <s v="HTL-0150"/>
        <s v="HTL-0151"/>
        <s v="HTL-0152"/>
        <s v="HTL-0153"/>
        <s v="HTL-0154"/>
        <s v="HTL-0155"/>
        <s v="HTL-0156"/>
        <s v="HTL-0157"/>
        <s v="HTL-0158"/>
        <s v="HTL-0159"/>
        <s v="HTL-0160"/>
        <s v="HTL-0161"/>
        <s v="HTL-0162"/>
        <s v="HTL-0163"/>
        <s v="HTL-0164"/>
        <s v="HTL-0165"/>
        <s v="HTL-0166"/>
        <s v="HTL-0167"/>
        <s v="HTL-0168"/>
        <s v="HTL-0169"/>
        <s v="HTL-0170"/>
        <s v="HTL-0171"/>
        <s v="HTL-0172"/>
        <s v="HTL-0173"/>
        <s v="HTL-0174"/>
        <s v="HTL-0175"/>
        <s v="HTL-0176"/>
        <s v="HTL-0177"/>
        <s v="HTL-0178"/>
        <s v="HTL-0179"/>
        <s v="HTL-0180"/>
        <s v="HTL-0181"/>
        <s v="HTL-0182"/>
        <s v="HTL-0183"/>
        <s v="HTL-0184"/>
        <s v="HTL-0185"/>
        <s v="HTL-0186"/>
        <s v="HTL-0187"/>
        <s v="HTL-0188"/>
        <s v="HTL-0189"/>
        <s v="HTL-0190"/>
        <s v="HTL-0191"/>
        <s v="HTL-0192"/>
        <s v="HTL-0193"/>
        <s v="HTL-0194"/>
        <s v="HTL-0195"/>
        <s v="HTL-0196"/>
        <s v="HTL-0197"/>
        <s v="HTL-0198"/>
        <s v="HTL-0199"/>
        <s v="HTL-0200"/>
        <s v="HTL-0201"/>
        <s v="HTL-0202"/>
        <s v="HTL-0203"/>
        <s v="HTL-0204"/>
        <s v="HTL-0205"/>
        <s v="HTL-0206"/>
        <s v="HTL-0207"/>
        <s v="HTL-0208"/>
        <s v="HTL-0209"/>
        <s v="HTL-0210"/>
        <s v="HTL-0211"/>
        <s v="HTL-0212"/>
        <s v="HTL-0213"/>
        <s v="HTL-0214"/>
        <s v="HTL-0215"/>
        <s v="HTL-0216"/>
        <s v="HTL-0217"/>
        <s v="HTL-0218"/>
        <s v="HTL-0219"/>
        <s v="HTL-0220"/>
        <s v="HTL-0221"/>
        <s v="HTL-0222"/>
        <s v="HTL-0223"/>
        <s v="HTL-0224"/>
        <s v="HTL-0225"/>
        <s v="HTL-0226"/>
        <s v="HTL-0227"/>
        <s v="HTL-0228"/>
        <s v="HTL-0229"/>
        <s v="HTL-0230"/>
        <s v="HTL-0231"/>
        <s v="HTL-0232"/>
        <s v="HTL-0233"/>
        <s v="HTL-0234"/>
        <s v="HTL-0235"/>
        <s v="HTL-0236"/>
        <s v="HTL-0237"/>
        <s v="HTL-0238"/>
        <s v="HTL-0239"/>
        <s v="HTL-0240"/>
        <s v="HTL-0241"/>
        <s v="HTL-0242"/>
        <s v="HTL-0243"/>
        <s v="HTL-0244"/>
        <s v="HTL-0245"/>
        <s v="HTL-0246"/>
        <s v="HTL-0247"/>
        <s v="HTL-0248"/>
        <s v="HTL-0249"/>
        <s v="HTL-0250"/>
        <s v="HTL-0251"/>
        <s v="HTL-0252"/>
        <s v="HTL-0253"/>
        <s v="HTL-0254"/>
        <s v="HTL-0255"/>
        <s v="HTL-0256"/>
        <s v="HTL-0257"/>
        <s v="HTL-0258"/>
        <s v="HTL-0259"/>
        <s v="HTL-0260"/>
        <s v="HTL-0261"/>
        <s v="HTL-0262"/>
        <s v="HTL-0263"/>
        <s v="HTL-0264"/>
        <s v="HTL-0265"/>
        <s v="HTL-0266"/>
        <s v="HTL-0267"/>
        <s v="HTL-0268"/>
        <s v="HTL-0269"/>
        <s v="HTL-0270"/>
        <s v="HTL-0271"/>
        <s v="HTL-0272"/>
        <s v="HTL-0273"/>
        <s v="HTL-0274"/>
        <s v="HTL-0275"/>
        <s v="HTL-0276"/>
        <s v="HTL-0277"/>
        <s v="HTL-0278"/>
        <s v="HTL-0279"/>
        <s v="HTL-0280"/>
        <s v="HTL-0281"/>
        <s v="HTL-0282"/>
        <s v="HTL-0283"/>
        <s v="HTL-0284"/>
        <s v="HTL-0285"/>
        <s v="HTL-0286"/>
        <s v="HTL-0287"/>
        <s v="HTL-0288"/>
        <s v="HTL-0289"/>
        <s v="HTL-0290"/>
        <s v="HTL-0291"/>
        <s v="HTL-0292"/>
        <s v="HTL-0293"/>
        <s v="HTL-0294"/>
        <s v="HTL-0295"/>
        <s v="HTL-0296"/>
        <s v="HTL-0297"/>
        <s v="HTL-0298"/>
        <s v="HTL-0299"/>
        <s v="HTL-0300"/>
        <s v="HTL-0301"/>
        <s v="HTL-0302"/>
        <s v="HTL-0303"/>
        <s v="HTL-0304"/>
        <s v="HTL-0305"/>
        <s v="HTL-0306"/>
        <s v="HTL-0307"/>
        <s v="HTL-0308"/>
        <s v="HTL-0309"/>
        <s v="HTL-0310"/>
        <s v="HTL-0311"/>
        <s v="HTL-0312"/>
        <s v="HTL-0313"/>
        <s v="HTL-0314"/>
        <s v="HTL-0315"/>
        <s v="HTL-0316"/>
        <s v="HTL-0317"/>
        <s v="HTL-0318"/>
        <s v="HTL-0319"/>
        <s v="HTL-0320"/>
        <s v="HTL-0321"/>
        <s v="HTL-0322"/>
        <s v="HTL-0323"/>
        <s v="HTL-0324"/>
        <s v="HTL-0325"/>
        <s v="HTL-0326"/>
        <s v="HTL-0327"/>
        <s v="HTL-0328"/>
        <s v="HTL-0329"/>
        <s v="HTL-0330"/>
        <s v="HTL-0331"/>
        <s v="HTL-0332"/>
        <s v="HTL-0333"/>
        <s v="HTL-0334"/>
        <s v="HTL-0335"/>
        <s v="HTL-0336"/>
        <s v="HTL-0337"/>
        <s v="HTL-0338"/>
        <s v="HTL-0339"/>
        <s v="HTL-0340"/>
        <s v="HTL-0341"/>
        <s v="HTL-0342"/>
        <s v="HTL-0343"/>
        <s v="HTL-0344"/>
        <s v="HTL-0345"/>
        <s v="HTL-0346"/>
        <s v="HTL-0347"/>
        <s v="HTL-0348"/>
        <s v="HTL-0349"/>
        <s v="HTL-0350"/>
        <s v="HTL-0351"/>
        <s v="HTL-0352"/>
        <s v="HTL-0353"/>
        <s v="HTL-0354"/>
        <s v="HTL-0355"/>
        <s v="HTL-0356"/>
        <s v="HTL-0357"/>
        <s v="HTL-0358"/>
        <s v="HTL-0359"/>
        <s v="HTL-0360"/>
        <s v="HTL-0361"/>
        <s v="HTL-0362"/>
        <s v="HTL-0363"/>
        <s v="HTL-0364"/>
        <s v="HTL-0365"/>
        <s v="HTL-0366"/>
        <s v="HTL-0367"/>
        <s v="HTL-0368"/>
        <s v="HTL-0369"/>
        <s v="HTL-0370"/>
        <s v="HTL-0371"/>
        <s v="HTL-0372"/>
        <s v="HTL-0373"/>
        <s v="HTL-0374"/>
        <s v="HTL-0375"/>
        <s v="HTL-0376"/>
        <s v="HTL-0377"/>
        <s v="HTL-0378"/>
        <s v="HTL-0379"/>
        <s v="HTL-0380"/>
        <s v="HTL-0381"/>
        <s v="HTL-0382"/>
        <s v="HTL-0383"/>
        <s v="HTL-0384"/>
        <s v="HTL-0385"/>
        <s v="HTL-0386"/>
        <s v="HTL-0387"/>
        <s v="HTL-0388"/>
        <s v="HTL-0389"/>
        <s v="HTL-0390"/>
        <s v="HTL-0391"/>
        <s v="HTL-0392"/>
        <s v="HTL-0393"/>
        <s v="HTL-0394"/>
        <s v="HTL-0395"/>
        <s v="HTL-0396"/>
        <s v="HTL-0397"/>
        <s v="HTL-0398"/>
        <s v="HTL-0399"/>
        <s v="HTL-0400"/>
        <s v="HTL-0401"/>
        <s v="HTL-0402"/>
        <s v="HTL-0403"/>
        <s v="HTL-0404"/>
        <s v="HTL-0405"/>
        <s v="HTL-0406"/>
        <s v="HTL-0407"/>
        <s v="HTL-0408"/>
        <s v="HTL-0409"/>
        <s v="HTL-0410"/>
        <s v="HTL-0411"/>
        <s v="HTL-0412"/>
        <s v="HTL-0413"/>
        <s v="HTL-0414"/>
        <s v="HTL-0415"/>
        <s v="HTL-0416"/>
        <s v="HTL-0417"/>
        <s v="HTL-0418"/>
        <s v="HTL-0419"/>
        <s v="HTL-0420"/>
        <s v="HTL-0421"/>
        <s v="HTL-0422"/>
        <s v="HTL-0423"/>
        <s v="HTL-0424"/>
        <s v="HTL-0425"/>
        <s v="HTL-0426"/>
        <s v="HTL-0427"/>
        <s v="HTL-0428"/>
        <s v="HTL-0429"/>
        <s v="HTL-0430"/>
        <s v="HTL-0431"/>
        <s v="HTL-0432"/>
        <s v="HTL-0433"/>
        <s v="HTL-0434"/>
        <s v="HTL-0435"/>
        <s v="HTL-0436"/>
        <s v="HTL-0437"/>
        <s v="HTL-0438"/>
        <s v="HTL-0439"/>
        <s v="HTL-0440"/>
        <s v="HTL-0441"/>
        <s v="HTL-0442"/>
        <s v="HTL-0443"/>
        <s v="HTL-0444"/>
        <s v="HTL-0445"/>
        <s v="HTL-0446"/>
        <s v="HTL-0447"/>
        <s v="HTL-0448"/>
        <s v="HTL-0449"/>
        <s v="HTL-0450"/>
        <s v="HTL-0451"/>
        <s v="HTL-0452"/>
        <s v="HTL-0453"/>
        <s v="HTL-0454"/>
        <s v="HTL-0455"/>
        <s v="HTL-0456"/>
        <s v="HTL-0457"/>
        <s v="HTL-0458"/>
        <s v="HTL-0459"/>
        <s v="HTL-0460"/>
        <s v="HTL-0461"/>
        <s v="HTL-0462"/>
        <s v="HTL-0463"/>
        <s v="HTL-0464"/>
        <s v="HTL-0465"/>
        <s v="HTL-0466"/>
        <s v="HTL-0467"/>
        <s v="HTL-0468"/>
        <s v="HTL-0469"/>
        <s v="HTL-0470"/>
        <s v="HTL-0471"/>
        <s v="HTL-0472"/>
        <s v="HTL-0473"/>
        <s v="HTL-0474"/>
        <s v="HTL-0475"/>
        <s v="HTL-0476"/>
        <s v="HTL-0477"/>
        <s v="HTL-0478"/>
        <s v="HTL-0479"/>
        <s v="HTL-0480"/>
        <s v="HTL-0481"/>
        <s v="HTL-0482"/>
        <s v="HTL-0483"/>
        <s v="HTL-0484"/>
        <s v="HTL-0485"/>
        <s v="HTL-0486"/>
        <s v="HTL-0487"/>
        <s v="HTL-0488"/>
        <s v="HTL-0489"/>
        <s v="HTL-0490"/>
        <s v="HTL-0491"/>
        <s v="HTL-0492"/>
        <s v="HTL-0493"/>
        <s v="HTL-0494"/>
        <s v="HTL-0495"/>
        <s v="HTL-0496"/>
        <s v="HTL-0497"/>
        <s v="HTL-0498"/>
        <s v="HTL-0499"/>
        <s v="HTL-0500"/>
      </sharedItems>
    </cacheField>
    <cacheField name="Guest Name" numFmtId="0">
      <sharedItems count="206">
        <s v="Diya Bhatt"/>
        <s v="Siddharth Joshi"/>
        <s v="Rohan Patel"/>
        <s v="Karan Mehta"/>
        <s v="Karan Chawla"/>
        <s v="Priya Iyer"/>
        <s v="Aarav Rao"/>
        <s v="Siddharth Deshmukh"/>
        <s v="Ananya Patel"/>
        <s v="Rahul Singh"/>
        <s v="Sneha Rao"/>
        <s v="Ananya Joshi"/>
        <s v="Priya Patel"/>
        <s v="Aditya Verma"/>
        <s v="Siddharth Singh"/>
        <s v="Arjun Patel"/>
        <s v="Neha Bhatt"/>
        <s v="Arjun Iyer"/>
        <s v="Neha Joshi"/>
        <s v="Vikram Iyer"/>
        <s v="Rahul Joshi"/>
        <s v="Diya Deshmukh"/>
        <s v="Rohan Nair"/>
        <s v="Priya Kumar"/>
        <s v="Aarav Mehta"/>
        <s v="Vikram Rao"/>
        <s v="Vikram Mehta"/>
        <s v="Isha Sharma"/>
        <s v="Karan Singh"/>
        <s v="Aditya Kapoor"/>
        <s v="Rohan Joshi"/>
        <s v="Sneha Sharma"/>
        <s v="Karan Kumar"/>
        <s v="Aditya Singh"/>
        <s v="Aarav Iyer"/>
        <s v="Diya Joshi"/>
        <s v="Karan Patel"/>
        <s v="Riya Rao"/>
        <s v="Arjun Kumar"/>
        <s v="Rohan Singh"/>
        <s v="Sneha Singh"/>
        <s v="Vikram Joshi"/>
        <s v="Arjun Rao"/>
        <s v="Ananya Rao"/>
        <s v="Aarav Kapoor"/>
        <s v="Aditya Sharma"/>
        <s v="Isha Singh"/>
        <s v="Vikram Kapoor"/>
        <s v="Neha Sharma"/>
        <s v="Aditya Bhatt"/>
        <s v="Sneha Kumar"/>
        <s v="Sneha Gupta"/>
        <s v="Aarav Joshi"/>
        <s v="Arjun Sharma"/>
        <s v="Riya Kapoor"/>
        <s v="Neha Singh"/>
        <s v="Aditya Mehta"/>
        <s v="Karan Sharma"/>
        <s v="Neha Patel"/>
        <s v="Aditya Patel"/>
        <s v="Rahul Kumar"/>
        <s v="Rohan Mehta"/>
        <s v="Ananya Bhatt"/>
        <s v="Riya Singh"/>
        <s v="Ananya Kapoor"/>
        <s v="Siddharth Kumar"/>
        <s v="Aditya Nair"/>
        <s v="Rohan Deshmukh"/>
        <s v="Sneha Mehta"/>
        <s v="Aarav Bhatt"/>
        <s v="Aarav Kumar"/>
        <s v="Ananya Mehta"/>
        <s v="Neha Chawla"/>
        <s v="Rahul Iyer"/>
        <s v="Priya Kapoor"/>
        <s v="Neha Verma"/>
        <s v="Vikram Singh"/>
        <s v="Siddharth Bhatt"/>
        <s v="Arjun Gupta"/>
        <s v="Priya Nair"/>
        <s v="Rohan Gupta"/>
        <s v="Isha Chawla"/>
        <s v="Arjun Joshi"/>
        <s v="Sneha Kapoor"/>
        <s v="Priya Joshi"/>
        <s v="Neha Kumar"/>
        <s v="Arjun Verma"/>
        <s v="Ananya Gupta"/>
        <s v="Karan Joshi"/>
        <s v="Isha Kumar"/>
        <s v="Sneha Chawla"/>
        <s v="Arjun Deshmukh"/>
        <s v="Diya Rao"/>
        <s v="Rahul Rao"/>
        <s v="Sneha Deshmukh"/>
        <s v="Aarav Verma"/>
        <s v="Sneha Verma"/>
        <s v="Riya Patel"/>
        <s v="Diya Kumar"/>
        <s v="Isha Deshmukh"/>
        <s v="Riya Mehta"/>
        <s v="Karan Verma"/>
        <s v="Karan Bhatt"/>
        <s v="Karan Kapoor"/>
        <s v="Ananya Chawla"/>
        <s v="Arjun Chawla"/>
        <s v="Rahul Sharma"/>
        <s v="Rahul Mehta"/>
        <s v="Riya Verma"/>
        <s v="Sneha Patel"/>
        <s v="Isha Verma"/>
        <s v="Karan Deshmukh"/>
        <s v="Ananya Singh"/>
        <s v="Karan Nair"/>
        <s v="Arjun Mehta"/>
        <s v="Ananya Kumar"/>
        <s v="Aditya Iyer"/>
        <s v="Rahul Deshmukh"/>
        <s v="Ananya Nair"/>
        <s v="Rohan Kapoor"/>
        <s v="Priya Sharma"/>
        <s v="Vikram Sharma"/>
        <s v="Aarav Sharma"/>
        <s v="Siddharth Sharma"/>
        <s v="Siddharth Patel"/>
        <s v="Diya Patel"/>
        <s v="Riya Iyer"/>
        <s v="Ananya Deshmukh"/>
        <s v="Riya Joshi"/>
        <s v="Rohan Rao"/>
        <s v="Rahul Verma"/>
        <s v="Aarav Deshmukh"/>
        <s v="Rahul Chawla"/>
        <s v="Isha Joshi"/>
        <s v="Vikram Kumar"/>
        <s v="Siddharth Rao"/>
        <s v="Aarav Gupta"/>
        <s v="Rahul Patel"/>
        <s v="Diya Singh"/>
        <s v="Karan Iyer"/>
        <s v="Riya Nair"/>
        <s v="Priya Singh"/>
        <s v="Diya Chawla"/>
        <s v="Siddharth Chawla"/>
        <s v="Neha Gupta"/>
        <s v="Sneha Joshi"/>
        <s v="Rahul Bhatt"/>
        <s v="Siddharth Iyer"/>
        <s v="Rahul Gupta"/>
        <s v="Vikram Deshmukh"/>
        <s v="Vikram Nair"/>
        <s v="Vikram Verma"/>
        <s v="Siddharth Nair"/>
        <s v="Vikram Chawla"/>
        <s v="Ananya Verma"/>
        <s v="Diya Sharma"/>
        <s v="Vikram Patel"/>
        <s v="Siddharth Kapoor"/>
        <s v="Siddharth Mehta"/>
        <s v="Aditya Chawla"/>
        <s v="Rohan Kumar"/>
        <s v="Ananya Sharma"/>
        <s v="Diya Verma"/>
        <s v="Aditya Deshmukh"/>
        <s v="Isha Kapoor"/>
        <s v="Vikram Gupta"/>
        <s v="Neha Rao"/>
        <s v="Neha Deshmukh"/>
        <s v="Aarav Patel"/>
        <s v="Rohan Bhatt"/>
        <s v="Priya Chawla"/>
        <s v="Karan Gupta"/>
        <s v="Isha Mehta"/>
        <s v="Neha Mehta"/>
        <s v="Neha Iyer"/>
        <s v="Ananya Iyer"/>
        <s v="Priya Bhatt"/>
        <s v="Riya Chawla"/>
        <s v="Diya Kapoor"/>
        <s v="Aditya Kumar"/>
        <s v="Isha Iyer"/>
        <s v="Rohan Chawla"/>
        <s v="Rohan Iyer"/>
        <s v="Isha Gupta"/>
        <s v="Diya Iyer"/>
        <s v="Aditya Gupta"/>
        <s v="Priya Verma"/>
        <s v="Neha Kapoor"/>
        <s v="Sneha Bhatt"/>
        <s v="Aditya Rao"/>
        <s v="Neha Nair"/>
        <s v="Rahul Kapoor"/>
        <s v="Rahul Nair"/>
        <s v="Priya Gupta"/>
        <s v="Riya Deshmukh"/>
        <s v="Isha Nair"/>
        <s v="Isha Bhatt"/>
        <s v="Priya Mehta"/>
        <s v="Riya Sharma"/>
        <s v="Rohan Verma"/>
        <s v="Priya Rao"/>
        <s v="Aditya Joshi"/>
        <s v="Riya Kumar"/>
        <s v="Siddharth Gupta"/>
        <s v="Diya Gupta"/>
        <s v="Diya Nair"/>
      </sharedItems>
    </cacheField>
    <cacheField name="Room Type" numFmtId="0">
      <sharedItems count="5">
        <s v="Executive Room"/>
        <s v="Presidential Suite"/>
        <s v="Deluxe Suite"/>
        <s v="Family Villa"/>
        <s v="Standard Room"/>
      </sharedItems>
    </cacheField>
    <cacheField name="Booking Channel" numFmtId="0">
      <sharedItems count="6">
        <s v="Walk-in"/>
        <s v="Agoda"/>
        <s v="Corporate Travel"/>
        <s v="Booking.com"/>
        <s v="Expedia"/>
        <s v="Direct Website"/>
      </sharedItems>
    </cacheField>
    <cacheField name="Customer Type" numFmtId="0">
      <sharedItems count="4">
        <s v="Group"/>
        <s v="Corporate"/>
        <s v="Contract"/>
        <s v="Transient"/>
      </sharedItems>
    </cacheField>
    <cacheField name="Check-In Date" numFmtId="164">
      <sharedItems containsSemiMixedTypes="0" containsNonDate="0" containsDate="1" containsString="0" minDate="2026-01-01T00:00:00" maxDate="2026-08-19T00:00:00" count="204">
        <d v="2026-04-30T00:00:00"/>
        <d v="2026-03-26T00:00:00"/>
        <d v="2026-02-19T00:00:00"/>
        <d v="2026-03-19T00:00:00"/>
        <d v="2026-01-20T00:00:00"/>
        <d v="2026-04-05T00:00:00"/>
        <d v="2026-07-15T00:00:00"/>
        <d v="2026-05-08T00:00:00"/>
        <d v="2026-05-17T00:00:00"/>
        <d v="2026-08-16T00:00:00"/>
        <d v="2026-04-29T00:00:00"/>
        <d v="2026-02-22T00:00:00"/>
        <d v="2026-01-04T00:00:00"/>
        <d v="2026-06-19T00:00:00"/>
        <d v="2026-08-17T00:00:00"/>
        <d v="2026-02-07T00:00:00"/>
        <d v="2026-05-12T00:00:00"/>
        <d v="2026-07-08T00:00:00"/>
        <d v="2026-05-29T00:00:00"/>
        <d v="2026-06-08T00:00:00"/>
        <d v="2026-07-11T00:00:00"/>
        <d v="2026-06-09T00:00:00"/>
        <d v="2026-01-02T00:00:00"/>
        <d v="2026-02-14T00:00:00"/>
        <d v="2026-01-27T00:00:00"/>
        <d v="2026-01-29T00:00:00"/>
        <d v="2026-01-30T00:00:00"/>
        <d v="2026-06-17T00:00:00"/>
        <d v="2026-08-18T00:00:00"/>
        <d v="2026-04-23T00:00:00"/>
        <d v="2026-02-27T00:00:00"/>
        <d v="2026-07-18T00:00:00"/>
        <d v="2026-04-06T00:00:00"/>
        <d v="2026-02-02T00:00:00"/>
        <d v="2026-07-30T00:00:00"/>
        <d v="2026-03-18T00:00:00"/>
        <d v="2026-07-12T00:00:00"/>
        <d v="2026-03-04T00:00:00"/>
        <d v="2026-05-19T00:00:00"/>
        <d v="2026-08-10T00:00:00"/>
        <d v="2026-05-22T00:00:00"/>
        <d v="2026-06-05T00:00:00"/>
        <d v="2026-04-19T00:00:00"/>
        <d v="2026-02-15T00:00:00"/>
        <d v="2026-07-04T00:00:00"/>
        <d v="2026-08-15T00:00:00"/>
        <d v="2026-04-25T00:00:00"/>
        <d v="2026-06-25T00:00:00"/>
        <d v="2026-04-04T00:00:00"/>
        <d v="2026-04-18T00:00:00"/>
        <d v="2026-05-27T00:00:00"/>
        <d v="2026-03-10T00:00:00"/>
        <d v="2026-06-06T00:00:00"/>
        <d v="2026-04-17T00:00:00"/>
        <d v="2026-07-14T00:00:00"/>
        <d v="2026-03-30T00:00:00"/>
        <d v="2026-01-22T00:00:00"/>
        <d v="2026-07-06T00:00:00"/>
        <d v="2026-05-15T00:00:00"/>
        <d v="2026-08-09T00:00:00"/>
        <d v="2026-01-11T00:00:00"/>
        <d v="2026-02-08T00:00:00"/>
        <d v="2026-07-01T00:00:00"/>
        <d v="2026-02-03T00:00:00"/>
        <d v="2026-03-23T00:00:00"/>
        <d v="2026-07-24T00:00:00"/>
        <d v="2026-08-08T00:00:00"/>
        <d v="2026-07-28T00:00:00"/>
        <d v="2026-05-13T00:00:00"/>
        <d v="2026-07-26T00:00:00"/>
        <d v="2026-07-17T00:00:00"/>
        <d v="2026-06-26T00:00:00"/>
        <d v="2026-07-27T00:00:00"/>
        <d v="2026-07-03T00:00:00"/>
        <d v="2026-01-21T00:00:00"/>
        <d v="2026-01-16T00:00:00"/>
        <d v="2026-08-03T00:00:00"/>
        <d v="2026-06-14T00:00:00"/>
        <d v="2026-07-13T00:00:00"/>
        <d v="2026-01-03T00:00:00"/>
        <d v="2026-01-05T00:00:00"/>
        <d v="2026-01-25T00:00:00"/>
        <d v="2026-04-26T00:00:00"/>
        <d v="2026-06-27T00:00:00"/>
        <d v="2026-01-28T00:00:00"/>
        <d v="2026-04-01T00:00:00"/>
        <d v="2026-03-08T00:00:00"/>
        <d v="2026-06-18T00:00:00"/>
        <d v="2026-03-31T00:00:00"/>
        <d v="2026-01-13T00:00:00"/>
        <d v="2026-06-22T00:00:00"/>
        <d v="2026-03-03T00:00:00"/>
        <d v="2026-03-28T00:00:00"/>
        <d v="2026-05-16T00:00:00"/>
        <d v="2026-06-28T00:00:00"/>
        <d v="2026-02-09T00:00:00"/>
        <d v="2026-03-27T00:00:00"/>
        <d v="2026-04-12T00:00:00"/>
        <d v="2026-02-23T00:00:00"/>
        <d v="2026-02-10T00:00:00"/>
        <d v="2026-08-13T00:00:00"/>
        <d v="2026-05-01T00:00:00"/>
        <d v="2026-06-07T00:00:00"/>
        <d v="2026-04-11T00:00:00"/>
        <d v="2026-03-29T00:00:00"/>
        <d v="2026-02-11T00:00:00"/>
        <d v="2026-07-25T00:00:00"/>
        <d v="2026-03-11T00:00:00"/>
        <d v="2026-03-02T00:00:00"/>
        <d v="2026-02-18T00:00:00"/>
        <d v="2026-04-22T00:00:00"/>
        <d v="2026-05-25T00:00:00"/>
        <d v="2026-06-23T00:00:00"/>
        <d v="2026-04-09T00:00:00"/>
        <d v="2026-04-27T00:00:00"/>
        <d v="2026-06-29T00:00:00"/>
        <d v="2026-02-04T00:00:00"/>
        <d v="2026-04-14T00:00:00"/>
        <d v="2026-07-07T00:00:00"/>
        <d v="2026-03-14T00:00:00"/>
        <d v="2026-04-21T00:00:00"/>
        <d v="2026-08-11T00:00:00"/>
        <d v="2026-03-24T00:00:00"/>
        <d v="2026-08-05T00:00:00"/>
        <d v="2026-02-06T00:00:00"/>
        <d v="2026-04-03T00:00:00"/>
        <d v="2026-06-20T00:00:00"/>
        <d v="2026-01-08T00:00:00"/>
        <d v="2026-01-31T00:00:00"/>
        <d v="2026-06-16T00:00:00"/>
        <d v="2026-07-21T00:00:00"/>
        <d v="2026-07-09T00:00:00"/>
        <d v="2026-01-06T00:00:00"/>
        <d v="2026-05-28T00:00:00"/>
        <d v="2026-04-13T00:00:00"/>
        <d v="2026-08-06T00:00:00"/>
        <d v="2026-02-26T00:00:00"/>
        <d v="2026-02-28T00:00:00"/>
        <d v="2026-06-12T00:00:00"/>
        <d v="2026-01-09T00:00:00"/>
        <d v="2026-06-30T00:00:00"/>
        <d v="2026-08-07T00:00:00"/>
        <d v="2026-05-09T00:00:00"/>
        <d v="2026-06-02T00:00:00"/>
        <d v="2026-03-01T00:00:00"/>
        <d v="2026-03-20T00:00:00"/>
        <d v="2026-06-24T00:00:00"/>
        <d v="2026-08-04T00:00:00"/>
        <d v="2026-01-17T00:00:00"/>
        <d v="2026-03-16T00:00:00"/>
        <d v="2026-06-04T00:00:00"/>
        <d v="2026-03-17T00:00:00"/>
        <d v="2026-05-18T00:00:00"/>
        <d v="2026-04-16T00:00:00"/>
        <d v="2026-05-02T00:00:00"/>
        <d v="2026-03-15T00:00:00"/>
        <d v="2026-05-24T00:00:00"/>
        <d v="2026-03-25T00:00:00"/>
        <d v="2026-03-12T00:00:00"/>
        <d v="2026-03-22T00:00:00"/>
        <d v="2026-06-11T00:00:00"/>
        <d v="2026-05-07T00:00:00"/>
        <d v="2026-02-05T00:00:00"/>
        <d v="2026-05-14T00:00:00"/>
        <d v="2026-04-24T00:00:00"/>
        <d v="2026-05-20T00:00:00"/>
        <d v="2026-04-15T00:00:00"/>
        <d v="2026-01-14T00:00:00"/>
        <d v="2026-04-08T00:00:00"/>
        <d v="2026-03-13T00:00:00"/>
        <d v="2026-03-21T00:00:00"/>
        <d v="2026-05-11T00:00:00"/>
        <d v="2026-06-21T00:00:00"/>
        <d v="2026-07-19T00:00:00"/>
        <d v="2026-05-30T00:00:00"/>
        <d v="2026-07-05T00:00:00"/>
        <d v="2026-05-04T00:00:00"/>
        <d v="2026-03-06T00:00:00"/>
        <d v="2026-08-01T00:00:00"/>
        <d v="2026-06-13T00:00:00"/>
        <d v="2026-05-10T00:00:00"/>
        <d v="2026-07-10T00:00:00"/>
        <d v="2026-06-01T00:00:00"/>
        <d v="2026-05-23T00:00:00"/>
        <d v="2026-05-05T00:00:00"/>
        <d v="2026-02-12T00:00:00"/>
        <d v="2026-01-26T00:00:00"/>
        <d v="2026-06-15T00:00:00"/>
        <d v="2026-01-01T00:00:00"/>
        <d v="2026-07-31T00:00:00"/>
        <d v="2026-04-10T00:00:00"/>
        <d v="2026-01-07T00:00:00"/>
        <d v="2026-04-02T00:00:00"/>
        <d v="2026-01-18T00:00:00"/>
        <d v="2026-03-07T00:00:00"/>
        <d v="2026-05-03T00:00:00"/>
        <d v="2026-07-23T00:00:00"/>
        <d v="2026-07-16T00:00:00"/>
        <d v="2026-08-02T00:00:00"/>
        <d v="2026-01-19T00:00:00"/>
        <d v="2026-01-10T00:00:00"/>
        <d v="2026-07-22T00:00:00"/>
        <d v="2026-02-13T00:00:00"/>
        <d v="2026-02-20T00:00:00"/>
      </sharedItems>
      <fieldGroup par="12"/>
    </cacheField>
    <cacheField name="Nights" numFmtId="0">
      <sharedItems containsSemiMixedTypes="0" containsString="0" containsNumber="1" containsInteger="1" minValue="1" maxValue="10" count="10">
        <n v="1"/>
        <n v="8"/>
        <n v="4"/>
        <n v="7"/>
        <n v="6"/>
        <n v="3"/>
        <n v="9"/>
        <n v="5"/>
        <n v="10"/>
        <n v="2"/>
      </sharedItems>
    </cacheField>
    <cacheField name="Guests" numFmtId="0">
      <sharedItems containsSemiMixedTypes="0" containsString="0" containsNumber="1" containsInteger="1" minValue="1" maxValue="4"/>
    </cacheField>
    <cacheField name="Room Rate ($)" numFmtId="165">
      <sharedItems containsSemiMixedTypes="0" containsString="0" containsNumber="1" containsInteger="1" minValue="102" maxValue="747" count="338">
        <n v="257"/>
        <n v="580"/>
        <n v="572"/>
        <n v="334"/>
        <n v="453"/>
        <n v="317"/>
        <n v="267"/>
        <n v="396"/>
        <n v="367"/>
        <n v="199"/>
        <n v="321"/>
        <n v="247"/>
        <n v="158"/>
        <n v="222"/>
        <n v="106"/>
        <n v="227"/>
        <n v="196"/>
        <n v="155"/>
        <n v="362"/>
        <n v="232"/>
        <n v="527"/>
        <n v="383"/>
        <n v="560"/>
        <n v="237"/>
        <n v="435"/>
        <n v="742"/>
        <n v="192"/>
        <n v="211"/>
        <n v="420"/>
        <n v="184"/>
        <n v="364"/>
        <n v="348"/>
        <n v="193"/>
        <n v="653"/>
        <n v="484"/>
        <n v="366"/>
        <n v="275"/>
        <n v="419"/>
        <n v="274"/>
        <n v="290"/>
        <n v="124"/>
        <n v="243"/>
        <n v="201"/>
        <n v="332"/>
        <n v="261"/>
        <n v="407"/>
        <n v="446"/>
        <n v="706"/>
        <n v="492"/>
        <n v="262"/>
        <n v="277"/>
        <n v="469"/>
        <n v="264"/>
        <n v="539"/>
        <n v="531"/>
        <n v="502"/>
        <n v="109"/>
        <n v="411"/>
        <n v="112"/>
        <n v="744"/>
        <n v="355"/>
        <n v="298"/>
        <n v="530"/>
        <n v="505"/>
        <n v="520"/>
        <n v="113"/>
        <n v="392"/>
        <n v="115"/>
        <n v="260"/>
        <n v="278"/>
        <n v="141"/>
        <n v="550"/>
        <n v="631"/>
        <n v="182"/>
        <n v="310"/>
        <n v="122"/>
        <n v="168"/>
        <n v="123"/>
        <n v="729"/>
        <n v="474"/>
        <n v="135"/>
        <n v="116"/>
        <n v="428"/>
        <n v="683"/>
        <n v="107"/>
        <n v="535"/>
        <n v="486"/>
        <n v="187"/>
        <n v="634"/>
        <n v="472"/>
        <n v="194"/>
        <n v="513"/>
        <n v="134"/>
        <n v="399"/>
        <n v="335"/>
        <n v="301"/>
        <n v="598"/>
        <n v="226"/>
        <n v="174"/>
        <n v="678"/>
        <n v="534"/>
        <n v="190"/>
        <n v="581"/>
        <n v="351"/>
        <n v="386"/>
        <n v="169"/>
        <n v="519"/>
        <n v="331"/>
        <n v="161"/>
        <n v="413"/>
        <n v="236"/>
        <n v="312"/>
        <n v="136"/>
        <n v="712"/>
        <n v="306"/>
        <n v="241"/>
        <n v="370"/>
        <n v="463"/>
        <n v="256"/>
        <n v="215"/>
        <n v="440"/>
        <n v="170"/>
        <n v="627"/>
        <n v="538"/>
        <n v="508"/>
        <n v="591"/>
        <n v="588"/>
        <n v="280"/>
        <n v="464"/>
        <n v="216"/>
        <n v="698"/>
        <n v="616"/>
        <n v="645"/>
        <n v="575"/>
        <n v="457"/>
        <n v="259"/>
        <n v="458"/>
        <n v="338"/>
        <n v="511"/>
        <n v="679"/>
        <n v="450"/>
        <n v="456"/>
        <n v="670"/>
        <n v="133"/>
        <n v="477"/>
        <n v="743"/>
        <n v="246"/>
        <n v="375"/>
        <n v="126"/>
        <n v="156"/>
        <n v="553"/>
        <n v="715"/>
        <n v="108"/>
        <n v="651"/>
        <n v="455"/>
        <n v="279"/>
        <n v="728"/>
        <n v="340"/>
        <n v="465"/>
        <n v="137"/>
        <n v="198"/>
        <n v="356"/>
        <n v="346"/>
        <n v="225"/>
        <n v="636"/>
        <n v="313"/>
        <n v="273"/>
        <n v="517"/>
        <n v="385"/>
        <n v="353"/>
        <n v="322"/>
        <n v="251"/>
        <n v="204"/>
        <n v="159"/>
        <n v="595"/>
        <n v="118"/>
        <n v="693"/>
        <n v="398"/>
        <n v="731"/>
        <n v="568"/>
        <n v="248"/>
        <n v="501"/>
        <n v="655"/>
        <n v="272"/>
        <n v="485"/>
        <n v="444"/>
        <n v="594"/>
        <n v="311"/>
        <n v="189"/>
        <n v="258"/>
        <n v="587"/>
        <n v="171"/>
        <n v="525"/>
        <n v="567"/>
        <n v="263"/>
        <n v="354"/>
        <n v="476"/>
        <n v="186"/>
        <n v="541"/>
        <n v="125"/>
        <n v="130"/>
        <n v="191"/>
        <n v="387"/>
        <n v="213"/>
        <n v="720"/>
        <n v="716"/>
        <n v="376"/>
        <n v="294"/>
        <n v="234"/>
        <n v="491"/>
        <n v="384"/>
        <n v="675"/>
        <n v="228"/>
        <n v="518"/>
        <n v="481"/>
        <n v="496"/>
        <n v="596"/>
        <n v="601"/>
        <n v="680"/>
        <n v="104"/>
        <n v="371"/>
        <n v="447"/>
        <n v="397"/>
        <n v="268"/>
        <n v="212"/>
        <n v="157"/>
        <n v="129"/>
        <n v="393"/>
        <n v="417"/>
        <n v="703"/>
        <n v="504"/>
        <n v="377"/>
        <n v="220"/>
        <n v="117"/>
        <n v="470"/>
        <n v="664"/>
        <n v="512"/>
        <n v="233"/>
        <n v="522"/>
        <n v="266"/>
        <n v="269"/>
        <n v="230"/>
        <n v="380"/>
        <n v="577"/>
        <n v="165"/>
        <n v="544"/>
        <n v="379"/>
        <n v="412"/>
        <n v="200"/>
        <n v="524"/>
        <n v="739"/>
        <n v="696"/>
        <n v="628"/>
        <n v="586"/>
        <n v="466"/>
        <n v="120"/>
        <n v="283"/>
        <n v="372"/>
        <n v="368"/>
        <n v="592"/>
        <n v="361"/>
        <n v="626"/>
        <n v="471"/>
        <n v="434"/>
        <n v="143"/>
        <n v="649"/>
        <n v="102"/>
        <n v="551"/>
        <n v="231"/>
        <n v="352"/>
        <n v="235"/>
        <n v="543"/>
        <n v="217"/>
        <n v="238"/>
        <n v="648"/>
        <n v="619"/>
        <n v="475"/>
        <n v="357"/>
        <n v="175"/>
        <n v="452"/>
        <n v="448"/>
        <n v="185"/>
        <n v="138"/>
        <n v="507"/>
        <n v="500"/>
        <n v="389"/>
        <n v="736"/>
        <n v="745"/>
        <n v="391"/>
        <n v="437"/>
        <n v="395"/>
        <n v="304"/>
        <n v="482"/>
        <n v="288"/>
        <n v="608"/>
        <n v="197"/>
        <n v="618"/>
        <n v="737"/>
        <n v="103"/>
        <n v="390"/>
        <n v="326"/>
        <n v="308"/>
        <n v="659"/>
        <n v="606"/>
        <n v="747"/>
        <n v="330"/>
        <n v="302"/>
        <n v="206"/>
        <n v="394"/>
        <n v="707"/>
        <n v="404"/>
        <n v="166"/>
        <n v="542"/>
        <n v="460"/>
        <n v="315"/>
        <n v="128"/>
        <n v="347"/>
        <n v="498"/>
        <n v="424"/>
        <n v="516"/>
        <n v="265"/>
        <n v="253"/>
        <n v="219"/>
        <n v="271"/>
        <n v="647"/>
        <n v="564"/>
        <n v="242"/>
        <n v="583"/>
        <n v="493"/>
        <n v="139"/>
        <n v="590"/>
        <n v="244"/>
        <n v="635"/>
        <n v="473"/>
        <n v="345"/>
        <n v="494"/>
        <n v="252"/>
        <n v="676"/>
      </sharedItems>
    </cacheField>
    <cacheField name="Total Revenue ($)" numFmtId="165">
      <sharedItems containsSemiMixedTypes="0" containsString="0" containsNumber="1" containsInteger="1" minValue="106" maxValue="7470"/>
    </cacheField>
    <cacheField name="Payment Status" numFmtId="0">
      <sharedItems/>
    </cacheField>
    <cacheField name="Days (Check-In Date)" numFmtId="0" databaseField="0">
      <fieldGroup base="5">
        <rangePr groupBy="days" startDate="2026-01-01T00:00:00" endDate="2026-08-19T00:00:00"/>
        <groupItems count="368">
          <s v="&lt;01-01-2026"/>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19-08-2026"/>
        </groupItems>
      </fieldGroup>
    </cacheField>
    <cacheField name="Months (Check-In Date)" numFmtId="0" databaseField="0">
      <fieldGroup base="5">
        <rangePr groupBy="months" startDate="2026-01-01T00:00:00" endDate="2026-08-19T00:00:00"/>
        <groupItems count="14">
          <s v="&lt;01-01-2026"/>
          <s v="Jan"/>
          <s v="Feb"/>
          <s v="Mar"/>
          <s v="Apr"/>
          <s v="May"/>
          <s v="Jun"/>
          <s v="Jul"/>
          <s v="Aug"/>
          <s v="Sep"/>
          <s v="Oct"/>
          <s v="Nov"/>
          <s v="Dec"/>
          <s v="&gt;19-08-2026"/>
        </groupItems>
      </fieldGroup>
    </cacheField>
  </cacheFields>
  <extLst>
    <ext xmlns:x14="http://schemas.microsoft.com/office/spreadsheetml/2009/9/main" uri="{725AE2AE-9491-48be-B2B4-4EB974FC3084}">
      <x14:pivotCacheDefinition pivotCacheId="2104721678"/>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thish Raja" refreshedDate="46256.378804398148" createdVersion="8" refreshedVersion="8" minRefreshableVersion="3" recordCount="8" xr:uid="{23BC9E1E-C6E5-405D-B565-7BA00C651590}">
  <cacheSource type="worksheet">
    <worksheetSource name="Table2"/>
  </cacheSource>
  <cacheFields count="7">
    <cacheField name="Room Type" numFmtId="0">
      <sharedItems count="8">
        <s v="Deluxe Suite"/>
        <s v="Executive Room"/>
        <s v="Standard Room"/>
        <s v="Presidential Suite"/>
        <s v="Family Villa"/>
        <s v="Grand Total"/>
        <s v="Minimum"/>
        <s v="Maximum"/>
      </sharedItems>
    </cacheField>
    <cacheField name="Total Bookings" numFmtId="3">
      <sharedItems containsSemiMixedTypes="0" containsString="0" containsNumber="1" containsInteger="1" minValue="86" maxValue="500" count="6">
        <n v="87"/>
        <n v="110"/>
        <n v="86"/>
        <n v="118"/>
        <n v="99"/>
        <n v="500"/>
      </sharedItems>
    </cacheField>
    <cacheField name="Total Nights Occupied" numFmtId="3">
      <sharedItems containsSemiMixedTypes="0" containsString="0" containsNumber="1" containsInteger="1" minValue="447" maxValue="2741"/>
    </cacheField>
    <cacheField name="Average Daily Rate ($)" numFmtId="165">
      <sharedItems containsSemiMixedTypes="0" containsString="0" containsNumber="1" minValue="135.03488372093022" maxValue="612.34745762711862"/>
    </cacheField>
    <cacheField name="Total Revenue ($)" numFmtId="165">
      <sharedItems containsSemiMixedTypes="0" containsString="0" containsNumber="1" containsInteger="1" minValue="62829" maxValue="1010684" count="6">
        <n v="146840"/>
        <n v="135014"/>
        <n v="62829"/>
        <n v="404334"/>
        <n v="261667"/>
        <n v="1010684"/>
      </sharedItems>
    </cacheField>
    <cacheField name="% Revenue Share" numFmtId="166">
      <sharedItems containsSemiMixedTypes="0" containsString="0" containsNumber="1" minValue="6.2164830946171111E-2" maxValue="1"/>
    </cacheField>
    <cacheField name="Column1" numFmtId="0">
      <sharedItems containsNonDate="0" containsString="0" containsBlank="1"/>
    </cacheField>
  </cacheFields>
  <extLst>
    <ext xmlns:x14="http://schemas.microsoft.com/office/spreadsheetml/2009/9/main" uri="{725AE2AE-9491-48be-B2B4-4EB974FC3084}">
      <x14:pivotCacheDefinition pivotCacheId="1404673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
  <r>
    <x v="0"/>
    <x v="0"/>
    <x v="0"/>
    <x v="0"/>
    <x v="0"/>
    <x v="0"/>
    <x v="0"/>
    <n v="2"/>
    <x v="0"/>
    <n v="257"/>
    <s v="Pending"/>
  </r>
  <r>
    <x v="1"/>
    <x v="1"/>
    <x v="1"/>
    <x v="1"/>
    <x v="1"/>
    <x v="1"/>
    <x v="1"/>
    <n v="1"/>
    <x v="1"/>
    <n v="4640"/>
    <s v="Pending"/>
  </r>
  <r>
    <x v="2"/>
    <x v="2"/>
    <x v="1"/>
    <x v="0"/>
    <x v="0"/>
    <x v="2"/>
    <x v="1"/>
    <n v="3"/>
    <x v="2"/>
    <n v="4576"/>
    <s v="Partially Paid"/>
  </r>
  <r>
    <x v="3"/>
    <x v="3"/>
    <x v="2"/>
    <x v="2"/>
    <x v="2"/>
    <x v="3"/>
    <x v="2"/>
    <n v="1"/>
    <x v="3"/>
    <n v="1336"/>
    <s v="Refunded"/>
  </r>
  <r>
    <x v="4"/>
    <x v="4"/>
    <x v="1"/>
    <x v="3"/>
    <x v="2"/>
    <x v="4"/>
    <x v="3"/>
    <n v="4"/>
    <x v="4"/>
    <n v="3171"/>
    <s v="Partially Paid"/>
  </r>
  <r>
    <x v="5"/>
    <x v="5"/>
    <x v="2"/>
    <x v="4"/>
    <x v="3"/>
    <x v="5"/>
    <x v="4"/>
    <n v="1"/>
    <x v="5"/>
    <n v="1902"/>
    <s v="Pending"/>
  </r>
  <r>
    <x v="6"/>
    <x v="6"/>
    <x v="0"/>
    <x v="4"/>
    <x v="3"/>
    <x v="6"/>
    <x v="5"/>
    <n v="4"/>
    <x v="6"/>
    <n v="801"/>
    <s v="Refunded"/>
  </r>
  <r>
    <x v="7"/>
    <x v="7"/>
    <x v="3"/>
    <x v="2"/>
    <x v="1"/>
    <x v="7"/>
    <x v="6"/>
    <n v="3"/>
    <x v="7"/>
    <n v="3564"/>
    <s v="Paid"/>
  </r>
  <r>
    <x v="8"/>
    <x v="8"/>
    <x v="2"/>
    <x v="0"/>
    <x v="0"/>
    <x v="8"/>
    <x v="1"/>
    <n v="1"/>
    <x v="8"/>
    <n v="2936"/>
    <s v="Pending"/>
  </r>
  <r>
    <x v="9"/>
    <x v="9"/>
    <x v="0"/>
    <x v="1"/>
    <x v="2"/>
    <x v="9"/>
    <x v="5"/>
    <n v="1"/>
    <x v="9"/>
    <n v="597"/>
    <s v="Refunded"/>
  </r>
  <r>
    <x v="10"/>
    <x v="10"/>
    <x v="2"/>
    <x v="5"/>
    <x v="0"/>
    <x v="10"/>
    <x v="0"/>
    <n v="2"/>
    <x v="10"/>
    <n v="321"/>
    <s v="Refunded"/>
  </r>
  <r>
    <x v="11"/>
    <x v="11"/>
    <x v="0"/>
    <x v="4"/>
    <x v="2"/>
    <x v="11"/>
    <x v="3"/>
    <n v="1"/>
    <x v="11"/>
    <n v="1729"/>
    <s v="Refunded"/>
  </r>
  <r>
    <x v="12"/>
    <x v="12"/>
    <x v="4"/>
    <x v="1"/>
    <x v="1"/>
    <x v="12"/>
    <x v="0"/>
    <n v="4"/>
    <x v="12"/>
    <n v="158"/>
    <s v="Paid"/>
  </r>
  <r>
    <x v="13"/>
    <x v="13"/>
    <x v="0"/>
    <x v="4"/>
    <x v="2"/>
    <x v="13"/>
    <x v="2"/>
    <n v="3"/>
    <x v="13"/>
    <n v="888"/>
    <s v="Paid"/>
  </r>
  <r>
    <x v="14"/>
    <x v="14"/>
    <x v="4"/>
    <x v="4"/>
    <x v="0"/>
    <x v="14"/>
    <x v="3"/>
    <n v="4"/>
    <x v="14"/>
    <n v="742"/>
    <s v="Pending"/>
  </r>
  <r>
    <x v="15"/>
    <x v="15"/>
    <x v="0"/>
    <x v="3"/>
    <x v="3"/>
    <x v="15"/>
    <x v="4"/>
    <n v="1"/>
    <x v="15"/>
    <n v="1362"/>
    <s v="Paid"/>
  </r>
  <r>
    <x v="16"/>
    <x v="16"/>
    <x v="0"/>
    <x v="1"/>
    <x v="0"/>
    <x v="16"/>
    <x v="6"/>
    <n v="2"/>
    <x v="16"/>
    <n v="1764"/>
    <s v="Partially Paid"/>
  </r>
  <r>
    <x v="17"/>
    <x v="17"/>
    <x v="4"/>
    <x v="4"/>
    <x v="0"/>
    <x v="17"/>
    <x v="7"/>
    <n v="2"/>
    <x v="17"/>
    <n v="775"/>
    <s v="Pending"/>
  </r>
  <r>
    <x v="18"/>
    <x v="18"/>
    <x v="2"/>
    <x v="3"/>
    <x v="3"/>
    <x v="18"/>
    <x v="4"/>
    <n v="4"/>
    <x v="18"/>
    <n v="2172"/>
    <s v="Paid"/>
  </r>
  <r>
    <x v="19"/>
    <x v="19"/>
    <x v="0"/>
    <x v="5"/>
    <x v="2"/>
    <x v="19"/>
    <x v="0"/>
    <n v="1"/>
    <x v="19"/>
    <n v="232"/>
    <s v="Partially Paid"/>
  </r>
  <r>
    <x v="20"/>
    <x v="20"/>
    <x v="3"/>
    <x v="3"/>
    <x v="2"/>
    <x v="20"/>
    <x v="0"/>
    <n v="1"/>
    <x v="20"/>
    <n v="527"/>
    <s v="Refunded"/>
  </r>
  <r>
    <x v="21"/>
    <x v="21"/>
    <x v="2"/>
    <x v="1"/>
    <x v="3"/>
    <x v="21"/>
    <x v="1"/>
    <n v="3"/>
    <x v="21"/>
    <n v="3064"/>
    <s v="Paid"/>
  </r>
  <r>
    <x v="22"/>
    <x v="22"/>
    <x v="1"/>
    <x v="5"/>
    <x v="0"/>
    <x v="22"/>
    <x v="2"/>
    <n v="3"/>
    <x v="22"/>
    <n v="2240"/>
    <s v="Paid"/>
  </r>
  <r>
    <x v="23"/>
    <x v="23"/>
    <x v="0"/>
    <x v="1"/>
    <x v="1"/>
    <x v="23"/>
    <x v="8"/>
    <n v="2"/>
    <x v="23"/>
    <n v="2370"/>
    <s v="Pending"/>
  </r>
  <r>
    <x v="24"/>
    <x v="24"/>
    <x v="3"/>
    <x v="1"/>
    <x v="1"/>
    <x v="24"/>
    <x v="8"/>
    <n v="1"/>
    <x v="24"/>
    <n v="4350"/>
    <s v="Pending"/>
  </r>
  <r>
    <x v="25"/>
    <x v="21"/>
    <x v="1"/>
    <x v="3"/>
    <x v="3"/>
    <x v="25"/>
    <x v="0"/>
    <n v="4"/>
    <x v="25"/>
    <n v="742"/>
    <s v="Paid"/>
  </r>
  <r>
    <x v="26"/>
    <x v="25"/>
    <x v="0"/>
    <x v="1"/>
    <x v="3"/>
    <x v="26"/>
    <x v="7"/>
    <n v="1"/>
    <x v="26"/>
    <n v="960"/>
    <s v="Refunded"/>
  </r>
  <r>
    <x v="27"/>
    <x v="26"/>
    <x v="0"/>
    <x v="1"/>
    <x v="2"/>
    <x v="27"/>
    <x v="6"/>
    <n v="4"/>
    <x v="9"/>
    <n v="1791"/>
    <s v="Refunded"/>
  </r>
  <r>
    <x v="28"/>
    <x v="27"/>
    <x v="0"/>
    <x v="4"/>
    <x v="2"/>
    <x v="28"/>
    <x v="2"/>
    <n v="4"/>
    <x v="27"/>
    <n v="844"/>
    <s v="Pending"/>
  </r>
  <r>
    <x v="29"/>
    <x v="28"/>
    <x v="3"/>
    <x v="3"/>
    <x v="2"/>
    <x v="29"/>
    <x v="1"/>
    <n v="2"/>
    <x v="28"/>
    <n v="3360"/>
    <s v="Paid"/>
  </r>
  <r>
    <x v="30"/>
    <x v="29"/>
    <x v="0"/>
    <x v="4"/>
    <x v="3"/>
    <x v="30"/>
    <x v="7"/>
    <n v="3"/>
    <x v="29"/>
    <n v="920"/>
    <s v="Partially Paid"/>
  </r>
  <r>
    <x v="31"/>
    <x v="30"/>
    <x v="3"/>
    <x v="1"/>
    <x v="0"/>
    <x v="31"/>
    <x v="1"/>
    <n v="3"/>
    <x v="30"/>
    <n v="2912"/>
    <s v="Partially Paid"/>
  </r>
  <r>
    <x v="32"/>
    <x v="20"/>
    <x v="2"/>
    <x v="3"/>
    <x v="3"/>
    <x v="32"/>
    <x v="1"/>
    <n v="1"/>
    <x v="31"/>
    <n v="2784"/>
    <s v="Paid"/>
  </r>
  <r>
    <x v="33"/>
    <x v="31"/>
    <x v="0"/>
    <x v="5"/>
    <x v="2"/>
    <x v="33"/>
    <x v="1"/>
    <n v="4"/>
    <x v="32"/>
    <n v="1544"/>
    <s v="Pending"/>
  </r>
  <r>
    <x v="34"/>
    <x v="32"/>
    <x v="1"/>
    <x v="4"/>
    <x v="0"/>
    <x v="34"/>
    <x v="2"/>
    <n v="3"/>
    <x v="33"/>
    <n v="2612"/>
    <s v="Pending"/>
  </r>
  <r>
    <x v="35"/>
    <x v="33"/>
    <x v="3"/>
    <x v="1"/>
    <x v="2"/>
    <x v="35"/>
    <x v="2"/>
    <n v="4"/>
    <x v="34"/>
    <n v="1936"/>
    <s v="Paid"/>
  </r>
  <r>
    <x v="36"/>
    <x v="34"/>
    <x v="2"/>
    <x v="1"/>
    <x v="3"/>
    <x v="36"/>
    <x v="1"/>
    <n v="3"/>
    <x v="35"/>
    <n v="2928"/>
    <s v="Refunded"/>
  </r>
  <r>
    <x v="37"/>
    <x v="35"/>
    <x v="0"/>
    <x v="4"/>
    <x v="2"/>
    <x v="37"/>
    <x v="5"/>
    <n v="4"/>
    <x v="36"/>
    <n v="825"/>
    <s v="Paid"/>
  </r>
  <r>
    <x v="38"/>
    <x v="36"/>
    <x v="3"/>
    <x v="2"/>
    <x v="3"/>
    <x v="38"/>
    <x v="0"/>
    <n v="4"/>
    <x v="37"/>
    <n v="419"/>
    <s v="Refunded"/>
  </r>
  <r>
    <x v="39"/>
    <x v="37"/>
    <x v="0"/>
    <x v="5"/>
    <x v="1"/>
    <x v="39"/>
    <x v="6"/>
    <n v="4"/>
    <x v="38"/>
    <n v="2466"/>
    <s v="Partially Paid"/>
  </r>
  <r>
    <x v="40"/>
    <x v="33"/>
    <x v="2"/>
    <x v="4"/>
    <x v="3"/>
    <x v="12"/>
    <x v="5"/>
    <n v="3"/>
    <x v="39"/>
    <n v="870"/>
    <s v="Pending"/>
  </r>
  <r>
    <x v="41"/>
    <x v="38"/>
    <x v="4"/>
    <x v="0"/>
    <x v="1"/>
    <x v="40"/>
    <x v="8"/>
    <n v="1"/>
    <x v="40"/>
    <n v="1240"/>
    <s v="Pending"/>
  </r>
  <r>
    <x v="42"/>
    <x v="34"/>
    <x v="0"/>
    <x v="2"/>
    <x v="3"/>
    <x v="41"/>
    <x v="5"/>
    <n v="4"/>
    <x v="41"/>
    <n v="729"/>
    <s v="Refunded"/>
  </r>
  <r>
    <x v="43"/>
    <x v="39"/>
    <x v="0"/>
    <x v="3"/>
    <x v="2"/>
    <x v="42"/>
    <x v="1"/>
    <n v="1"/>
    <x v="42"/>
    <n v="1608"/>
    <s v="Refunded"/>
  </r>
  <r>
    <x v="44"/>
    <x v="29"/>
    <x v="2"/>
    <x v="0"/>
    <x v="0"/>
    <x v="43"/>
    <x v="0"/>
    <n v="1"/>
    <x v="43"/>
    <n v="332"/>
    <s v="Paid"/>
  </r>
  <r>
    <x v="45"/>
    <x v="30"/>
    <x v="0"/>
    <x v="1"/>
    <x v="1"/>
    <x v="44"/>
    <x v="3"/>
    <n v="2"/>
    <x v="44"/>
    <n v="1827"/>
    <s v="Pending"/>
  </r>
  <r>
    <x v="46"/>
    <x v="40"/>
    <x v="3"/>
    <x v="4"/>
    <x v="0"/>
    <x v="45"/>
    <x v="3"/>
    <n v="3"/>
    <x v="45"/>
    <n v="2849"/>
    <s v="Refunded"/>
  </r>
  <r>
    <x v="47"/>
    <x v="41"/>
    <x v="3"/>
    <x v="2"/>
    <x v="1"/>
    <x v="13"/>
    <x v="5"/>
    <n v="1"/>
    <x v="46"/>
    <n v="1338"/>
    <s v="Paid"/>
  </r>
  <r>
    <x v="48"/>
    <x v="42"/>
    <x v="0"/>
    <x v="4"/>
    <x v="1"/>
    <x v="46"/>
    <x v="1"/>
    <n v="2"/>
    <x v="16"/>
    <n v="1568"/>
    <s v="Paid"/>
  </r>
  <r>
    <x v="49"/>
    <x v="43"/>
    <x v="1"/>
    <x v="5"/>
    <x v="0"/>
    <x v="23"/>
    <x v="8"/>
    <n v="2"/>
    <x v="47"/>
    <n v="7060"/>
    <s v="Partially Paid"/>
  </r>
  <r>
    <x v="50"/>
    <x v="44"/>
    <x v="3"/>
    <x v="4"/>
    <x v="3"/>
    <x v="47"/>
    <x v="5"/>
    <n v="2"/>
    <x v="48"/>
    <n v="1476"/>
    <s v="Refunded"/>
  </r>
  <r>
    <x v="51"/>
    <x v="45"/>
    <x v="0"/>
    <x v="5"/>
    <x v="2"/>
    <x v="48"/>
    <x v="6"/>
    <n v="2"/>
    <x v="49"/>
    <n v="2358"/>
    <s v="Partially Paid"/>
  </r>
  <r>
    <x v="52"/>
    <x v="46"/>
    <x v="0"/>
    <x v="4"/>
    <x v="1"/>
    <x v="12"/>
    <x v="1"/>
    <n v="4"/>
    <x v="50"/>
    <n v="2216"/>
    <s v="Pending"/>
  </r>
  <r>
    <x v="53"/>
    <x v="47"/>
    <x v="1"/>
    <x v="4"/>
    <x v="3"/>
    <x v="49"/>
    <x v="1"/>
    <n v="3"/>
    <x v="51"/>
    <n v="3752"/>
    <s v="Refunded"/>
  </r>
  <r>
    <x v="54"/>
    <x v="48"/>
    <x v="2"/>
    <x v="4"/>
    <x v="0"/>
    <x v="50"/>
    <x v="4"/>
    <n v="1"/>
    <x v="52"/>
    <n v="1584"/>
    <s v="Paid"/>
  </r>
  <r>
    <x v="55"/>
    <x v="49"/>
    <x v="1"/>
    <x v="2"/>
    <x v="0"/>
    <x v="30"/>
    <x v="7"/>
    <n v="2"/>
    <x v="53"/>
    <n v="2695"/>
    <s v="Pending"/>
  </r>
  <r>
    <x v="56"/>
    <x v="14"/>
    <x v="3"/>
    <x v="0"/>
    <x v="0"/>
    <x v="51"/>
    <x v="8"/>
    <n v="1"/>
    <x v="54"/>
    <n v="5310"/>
    <s v="Pending"/>
  </r>
  <r>
    <x v="57"/>
    <x v="50"/>
    <x v="3"/>
    <x v="5"/>
    <x v="1"/>
    <x v="52"/>
    <x v="3"/>
    <n v="3"/>
    <x v="55"/>
    <n v="3514"/>
    <s v="Refunded"/>
  </r>
  <r>
    <x v="58"/>
    <x v="51"/>
    <x v="4"/>
    <x v="1"/>
    <x v="1"/>
    <x v="53"/>
    <x v="6"/>
    <n v="2"/>
    <x v="17"/>
    <n v="1395"/>
    <s v="Paid"/>
  </r>
  <r>
    <x v="59"/>
    <x v="52"/>
    <x v="4"/>
    <x v="3"/>
    <x v="1"/>
    <x v="54"/>
    <x v="4"/>
    <n v="2"/>
    <x v="56"/>
    <n v="654"/>
    <s v="Refunded"/>
  </r>
  <r>
    <x v="60"/>
    <x v="11"/>
    <x v="3"/>
    <x v="4"/>
    <x v="1"/>
    <x v="55"/>
    <x v="0"/>
    <n v="2"/>
    <x v="57"/>
    <n v="411"/>
    <s v="Paid"/>
  </r>
  <r>
    <x v="61"/>
    <x v="53"/>
    <x v="4"/>
    <x v="1"/>
    <x v="2"/>
    <x v="56"/>
    <x v="1"/>
    <n v="3"/>
    <x v="58"/>
    <n v="896"/>
    <s v="Partially Paid"/>
  </r>
  <r>
    <x v="62"/>
    <x v="54"/>
    <x v="1"/>
    <x v="2"/>
    <x v="0"/>
    <x v="57"/>
    <x v="3"/>
    <n v="1"/>
    <x v="59"/>
    <n v="5208"/>
    <s v="Paid"/>
  </r>
  <r>
    <x v="63"/>
    <x v="41"/>
    <x v="3"/>
    <x v="2"/>
    <x v="3"/>
    <x v="49"/>
    <x v="2"/>
    <n v="2"/>
    <x v="60"/>
    <n v="1420"/>
    <s v="Pending"/>
  </r>
  <r>
    <x v="64"/>
    <x v="55"/>
    <x v="2"/>
    <x v="5"/>
    <x v="1"/>
    <x v="58"/>
    <x v="8"/>
    <n v="3"/>
    <x v="61"/>
    <n v="2980"/>
    <s v="Partially Paid"/>
  </r>
  <r>
    <x v="65"/>
    <x v="54"/>
    <x v="1"/>
    <x v="5"/>
    <x v="1"/>
    <x v="59"/>
    <x v="7"/>
    <n v="3"/>
    <x v="62"/>
    <n v="2650"/>
    <s v="Paid"/>
  </r>
  <r>
    <x v="66"/>
    <x v="56"/>
    <x v="3"/>
    <x v="1"/>
    <x v="0"/>
    <x v="60"/>
    <x v="5"/>
    <n v="3"/>
    <x v="63"/>
    <n v="1515"/>
    <s v="Paid"/>
  </r>
  <r>
    <x v="67"/>
    <x v="57"/>
    <x v="0"/>
    <x v="2"/>
    <x v="3"/>
    <x v="45"/>
    <x v="6"/>
    <n v="2"/>
    <x v="16"/>
    <n v="1764"/>
    <s v="Pending"/>
  </r>
  <r>
    <x v="68"/>
    <x v="58"/>
    <x v="1"/>
    <x v="3"/>
    <x v="2"/>
    <x v="43"/>
    <x v="3"/>
    <n v="3"/>
    <x v="47"/>
    <n v="4942"/>
    <s v="Paid"/>
  </r>
  <r>
    <x v="69"/>
    <x v="59"/>
    <x v="3"/>
    <x v="5"/>
    <x v="2"/>
    <x v="61"/>
    <x v="6"/>
    <n v="4"/>
    <x v="64"/>
    <n v="4680"/>
    <s v="Pending"/>
  </r>
  <r>
    <x v="70"/>
    <x v="60"/>
    <x v="4"/>
    <x v="0"/>
    <x v="2"/>
    <x v="62"/>
    <x v="9"/>
    <n v="2"/>
    <x v="65"/>
    <n v="226"/>
    <s v="Partially Paid"/>
  </r>
  <r>
    <x v="71"/>
    <x v="61"/>
    <x v="0"/>
    <x v="5"/>
    <x v="3"/>
    <x v="63"/>
    <x v="7"/>
    <n v="2"/>
    <x v="13"/>
    <n v="1110"/>
    <s v="Pending"/>
  </r>
  <r>
    <x v="72"/>
    <x v="58"/>
    <x v="2"/>
    <x v="5"/>
    <x v="1"/>
    <x v="52"/>
    <x v="2"/>
    <n v="4"/>
    <x v="66"/>
    <n v="1568"/>
    <s v="Partially Paid"/>
  </r>
  <r>
    <x v="73"/>
    <x v="62"/>
    <x v="4"/>
    <x v="5"/>
    <x v="1"/>
    <x v="64"/>
    <x v="7"/>
    <n v="2"/>
    <x v="14"/>
    <n v="530"/>
    <s v="Partially Paid"/>
  </r>
  <r>
    <x v="74"/>
    <x v="63"/>
    <x v="4"/>
    <x v="0"/>
    <x v="3"/>
    <x v="65"/>
    <x v="0"/>
    <n v="1"/>
    <x v="67"/>
    <n v="115"/>
    <s v="Paid"/>
  </r>
  <r>
    <x v="75"/>
    <x v="64"/>
    <x v="0"/>
    <x v="1"/>
    <x v="2"/>
    <x v="66"/>
    <x v="7"/>
    <n v="1"/>
    <x v="68"/>
    <n v="1300"/>
    <s v="Paid"/>
  </r>
  <r>
    <x v="76"/>
    <x v="65"/>
    <x v="0"/>
    <x v="1"/>
    <x v="3"/>
    <x v="7"/>
    <x v="3"/>
    <n v="3"/>
    <x v="69"/>
    <n v="1946"/>
    <s v="Paid"/>
  </r>
  <r>
    <x v="77"/>
    <x v="66"/>
    <x v="4"/>
    <x v="3"/>
    <x v="0"/>
    <x v="67"/>
    <x v="1"/>
    <n v="2"/>
    <x v="70"/>
    <n v="1128"/>
    <s v="Pending"/>
  </r>
  <r>
    <x v="78"/>
    <x v="67"/>
    <x v="1"/>
    <x v="2"/>
    <x v="0"/>
    <x v="13"/>
    <x v="0"/>
    <n v="2"/>
    <x v="71"/>
    <n v="550"/>
    <s v="Paid"/>
  </r>
  <r>
    <x v="79"/>
    <x v="22"/>
    <x v="1"/>
    <x v="4"/>
    <x v="0"/>
    <x v="25"/>
    <x v="1"/>
    <n v="3"/>
    <x v="72"/>
    <n v="5048"/>
    <s v="Refunded"/>
  </r>
  <r>
    <x v="80"/>
    <x v="25"/>
    <x v="0"/>
    <x v="2"/>
    <x v="0"/>
    <x v="11"/>
    <x v="8"/>
    <n v="3"/>
    <x v="73"/>
    <n v="1820"/>
    <s v="Pending"/>
  </r>
  <r>
    <x v="81"/>
    <x v="68"/>
    <x v="2"/>
    <x v="2"/>
    <x v="2"/>
    <x v="43"/>
    <x v="4"/>
    <n v="3"/>
    <x v="74"/>
    <n v="1860"/>
    <s v="Paid"/>
  </r>
  <r>
    <x v="82"/>
    <x v="69"/>
    <x v="4"/>
    <x v="3"/>
    <x v="2"/>
    <x v="68"/>
    <x v="9"/>
    <n v="3"/>
    <x v="75"/>
    <n v="244"/>
    <s v="Partially Paid"/>
  </r>
  <r>
    <x v="83"/>
    <x v="70"/>
    <x v="4"/>
    <x v="3"/>
    <x v="2"/>
    <x v="69"/>
    <x v="8"/>
    <n v="3"/>
    <x v="76"/>
    <n v="1680"/>
    <s v="Paid"/>
  </r>
  <r>
    <x v="84"/>
    <x v="15"/>
    <x v="4"/>
    <x v="1"/>
    <x v="1"/>
    <x v="50"/>
    <x v="6"/>
    <n v="1"/>
    <x v="77"/>
    <n v="1107"/>
    <s v="Partially Paid"/>
  </r>
  <r>
    <x v="85"/>
    <x v="71"/>
    <x v="2"/>
    <x v="4"/>
    <x v="0"/>
    <x v="70"/>
    <x v="7"/>
    <n v="4"/>
    <x v="6"/>
    <n v="1335"/>
    <s v="Pending"/>
  </r>
  <r>
    <x v="86"/>
    <x v="72"/>
    <x v="1"/>
    <x v="1"/>
    <x v="2"/>
    <x v="61"/>
    <x v="2"/>
    <n v="3"/>
    <x v="78"/>
    <n v="2916"/>
    <s v="Partially Paid"/>
  </r>
  <r>
    <x v="87"/>
    <x v="73"/>
    <x v="3"/>
    <x v="1"/>
    <x v="0"/>
    <x v="71"/>
    <x v="5"/>
    <n v="4"/>
    <x v="79"/>
    <n v="1422"/>
    <s v="Paid"/>
  </r>
  <r>
    <x v="88"/>
    <x v="74"/>
    <x v="4"/>
    <x v="2"/>
    <x v="2"/>
    <x v="72"/>
    <x v="9"/>
    <n v="1"/>
    <x v="80"/>
    <n v="270"/>
    <s v="Partially Paid"/>
  </r>
  <r>
    <x v="89"/>
    <x v="75"/>
    <x v="4"/>
    <x v="1"/>
    <x v="2"/>
    <x v="73"/>
    <x v="5"/>
    <n v="3"/>
    <x v="81"/>
    <n v="348"/>
    <s v="Paid"/>
  </r>
  <r>
    <x v="90"/>
    <x v="76"/>
    <x v="3"/>
    <x v="0"/>
    <x v="2"/>
    <x v="20"/>
    <x v="1"/>
    <n v="3"/>
    <x v="82"/>
    <n v="3424"/>
    <s v="Paid"/>
  </r>
  <r>
    <x v="91"/>
    <x v="53"/>
    <x v="1"/>
    <x v="5"/>
    <x v="1"/>
    <x v="32"/>
    <x v="4"/>
    <n v="2"/>
    <x v="83"/>
    <n v="4098"/>
    <s v="Refunded"/>
  </r>
  <r>
    <x v="92"/>
    <x v="77"/>
    <x v="4"/>
    <x v="4"/>
    <x v="2"/>
    <x v="32"/>
    <x v="6"/>
    <n v="4"/>
    <x v="84"/>
    <n v="963"/>
    <s v="Refunded"/>
  </r>
  <r>
    <x v="93"/>
    <x v="78"/>
    <x v="1"/>
    <x v="1"/>
    <x v="1"/>
    <x v="42"/>
    <x v="7"/>
    <n v="3"/>
    <x v="85"/>
    <n v="2675"/>
    <s v="Partially Paid"/>
  </r>
  <r>
    <x v="94"/>
    <x v="75"/>
    <x v="1"/>
    <x v="0"/>
    <x v="2"/>
    <x v="74"/>
    <x v="9"/>
    <n v="1"/>
    <x v="86"/>
    <n v="972"/>
    <s v="Paid"/>
  </r>
  <r>
    <x v="95"/>
    <x v="79"/>
    <x v="0"/>
    <x v="4"/>
    <x v="1"/>
    <x v="75"/>
    <x v="0"/>
    <n v="2"/>
    <x v="87"/>
    <n v="187"/>
    <s v="Pending"/>
  </r>
  <r>
    <x v="96"/>
    <x v="20"/>
    <x v="1"/>
    <x v="4"/>
    <x v="0"/>
    <x v="45"/>
    <x v="1"/>
    <n v="1"/>
    <x v="88"/>
    <n v="5072"/>
    <s v="Paid"/>
  </r>
  <r>
    <x v="97"/>
    <x v="80"/>
    <x v="3"/>
    <x v="5"/>
    <x v="2"/>
    <x v="15"/>
    <x v="9"/>
    <n v="4"/>
    <x v="89"/>
    <n v="944"/>
    <s v="Partially Paid"/>
  </r>
  <r>
    <x v="98"/>
    <x v="81"/>
    <x v="0"/>
    <x v="0"/>
    <x v="3"/>
    <x v="20"/>
    <x v="2"/>
    <n v="2"/>
    <x v="90"/>
    <n v="776"/>
    <s v="Pending"/>
  </r>
  <r>
    <x v="99"/>
    <x v="82"/>
    <x v="3"/>
    <x v="0"/>
    <x v="1"/>
    <x v="76"/>
    <x v="7"/>
    <n v="4"/>
    <x v="91"/>
    <n v="2565"/>
    <s v="Pending"/>
  </r>
  <r>
    <x v="100"/>
    <x v="2"/>
    <x v="1"/>
    <x v="3"/>
    <x v="2"/>
    <x v="41"/>
    <x v="5"/>
    <n v="4"/>
    <x v="83"/>
    <n v="2049"/>
    <s v="Refunded"/>
  </r>
  <r>
    <x v="101"/>
    <x v="83"/>
    <x v="4"/>
    <x v="0"/>
    <x v="1"/>
    <x v="77"/>
    <x v="7"/>
    <n v="3"/>
    <x v="92"/>
    <n v="670"/>
    <s v="Partially Paid"/>
  </r>
  <r>
    <x v="102"/>
    <x v="82"/>
    <x v="3"/>
    <x v="0"/>
    <x v="1"/>
    <x v="78"/>
    <x v="6"/>
    <n v="4"/>
    <x v="93"/>
    <n v="3591"/>
    <s v="Partially Paid"/>
  </r>
  <r>
    <x v="103"/>
    <x v="6"/>
    <x v="2"/>
    <x v="2"/>
    <x v="3"/>
    <x v="79"/>
    <x v="4"/>
    <n v="4"/>
    <x v="94"/>
    <n v="2010"/>
    <s v="Partially Paid"/>
  </r>
  <r>
    <x v="104"/>
    <x v="84"/>
    <x v="2"/>
    <x v="4"/>
    <x v="1"/>
    <x v="80"/>
    <x v="8"/>
    <n v="3"/>
    <x v="95"/>
    <n v="3010"/>
    <s v="Pending"/>
  </r>
  <r>
    <x v="105"/>
    <x v="29"/>
    <x v="1"/>
    <x v="0"/>
    <x v="1"/>
    <x v="16"/>
    <x v="8"/>
    <n v="1"/>
    <x v="96"/>
    <n v="5980"/>
    <s v="Refunded"/>
  </r>
  <r>
    <x v="106"/>
    <x v="85"/>
    <x v="0"/>
    <x v="1"/>
    <x v="1"/>
    <x v="23"/>
    <x v="5"/>
    <n v="1"/>
    <x v="97"/>
    <n v="678"/>
    <s v="Paid"/>
  </r>
  <r>
    <x v="107"/>
    <x v="86"/>
    <x v="4"/>
    <x v="4"/>
    <x v="3"/>
    <x v="81"/>
    <x v="5"/>
    <n v="3"/>
    <x v="98"/>
    <n v="522"/>
    <s v="Pending"/>
  </r>
  <r>
    <x v="108"/>
    <x v="5"/>
    <x v="0"/>
    <x v="2"/>
    <x v="2"/>
    <x v="79"/>
    <x v="9"/>
    <n v="4"/>
    <x v="73"/>
    <n v="364"/>
    <s v="Refunded"/>
  </r>
  <r>
    <x v="109"/>
    <x v="50"/>
    <x v="1"/>
    <x v="0"/>
    <x v="2"/>
    <x v="82"/>
    <x v="2"/>
    <n v="4"/>
    <x v="99"/>
    <n v="2712"/>
    <s v="Paid"/>
  </r>
  <r>
    <x v="110"/>
    <x v="87"/>
    <x v="0"/>
    <x v="2"/>
    <x v="0"/>
    <x v="60"/>
    <x v="5"/>
    <n v="3"/>
    <x v="32"/>
    <n v="579"/>
    <s v="Partially Paid"/>
  </r>
  <r>
    <x v="111"/>
    <x v="88"/>
    <x v="3"/>
    <x v="1"/>
    <x v="3"/>
    <x v="83"/>
    <x v="0"/>
    <n v="1"/>
    <x v="100"/>
    <n v="534"/>
    <s v="Paid"/>
  </r>
  <r>
    <x v="112"/>
    <x v="89"/>
    <x v="0"/>
    <x v="2"/>
    <x v="2"/>
    <x v="57"/>
    <x v="9"/>
    <n v="2"/>
    <x v="101"/>
    <n v="380"/>
    <s v="Paid"/>
  </r>
  <r>
    <x v="113"/>
    <x v="90"/>
    <x v="0"/>
    <x v="2"/>
    <x v="3"/>
    <x v="84"/>
    <x v="4"/>
    <n v="3"/>
    <x v="38"/>
    <n v="1644"/>
    <s v="Partially Paid"/>
  </r>
  <r>
    <x v="114"/>
    <x v="2"/>
    <x v="0"/>
    <x v="5"/>
    <x v="3"/>
    <x v="16"/>
    <x v="5"/>
    <n v="4"/>
    <x v="49"/>
    <n v="786"/>
    <s v="Paid"/>
  </r>
  <r>
    <x v="115"/>
    <x v="91"/>
    <x v="0"/>
    <x v="4"/>
    <x v="0"/>
    <x v="85"/>
    <x v="9"/>
    <n v="2"/>
    <x v="6"/>
    <n v="534"/>
    <s v="Paid"/>
  </r>
  <r>
    <x v="116"/>
    <x v="92"/>
    <x v="1"/>
    <x v="5"/>
    <x v="0"/>
    <x v="86"/>
    <x v="2"/>
    <n v="2"/>
    <x v="71"/>
    <n v="2200"/>
    <s v="Paid"/>
  </r>
  <r>
    <x v="117"/>
    <x v="38"/>
    <x v="1"/>
    <x v="5"/>
    <x v="2"/>
    <x v="87"/>
    <x v="6"/>
    <n v="1"/>
    <x v="102"/>
    <n v="5229"/>
    <s v="Pending"/>
  </r>
  <r>
    <x v="118"/>
    <x v="93"/>
    <x v="2"/>
    <x v="2"/>
    <x v="0"/>
    <x v="88"/>
    <x v="1"/>
    <n v="3"/>
    <x v="103"/>
    <n v="2808"/>
    <s v="Refunded"/>
  </r>
  <r>
    <x v="119"/>
    <x v="94"/>
    <x v="3"/>
    <x v="2"/>
    <x v="3"/>
    <x v="29"/>
    <x v="9"/>
    <n v="4"/>
    <x v="104"/>
    <n v="772"/>
    <s v="Pending"/>
  </r>
  <r>
    <x v="120"/>
    <x v="95"/>
    <x v="4"/>
    <x v="4"/>
    <x v="1"/>
    <x v="88"/>
    <x v="2"/>
    <n v="4"/>
    <x v="105"/>
    <n v="676"/>
    <s v="Paid"/>
  </r>
  <r>
    <x v="121"/>
    <x v="96"/>
    <x v="3"/>
    <x v="0"/>
    <x v="3"/>
    <x v="88"/>
    <x v="6"/>
    <n v="4"/>
    <x v="106"/>
    <n v="4671"/>
    <s v="Pending"/>
  </r>
  <r>
    <x v="122"/>
    <x v="96"/>
    <x v="2"/>
    <x v="4"/>
    <x v="0"/>
    <x v="0"/>
    <x v="5"/>
    <n v="1"/>
    <x v="107"/>
    <n v="993"/>
    <s v="Partially Paid"/>
  </r>
  <r>
    <x v="123"/>
    <x v="42"/>
    <x v="4"/>
    <x v="0"/>
    <x v="0"/>
    <x v="61"/>
    <x v="1"/>
    <n v="1"/>
    <x v="108"/>
    <n v="1288"/>
    <s v="Paid"/>
  </r>
  <r>
    <x v="124"/>
    <x v="97"/>
    <x v="3"/>
    <x v="5"/>
    <x v="3"/>
    <x v="89"/>
    <x v="4"/>
    <n v="3"/>
    <x v="109"/>
    <n v="2478"/>
    <s v="Refunded"/>
  </r>
  <r>
    <x v="125"/>
    <x v="45"/>
    <x v="0"/>
    <x v="3"/>
    <x v="3"/>
    <x v="90"/>
    <x v="3"/>
    <n v="2"/>
    <x v="110"/>
    <n v="1652"/>
    <s v="Pending"/>
  </r>
  <r>
    <x v="126"/>
    <x v="59"/>
    <x v="2"/>
    <x v="4"/>
    <x v="0"/>
    <x v="91"/>
    <x v="9"/>
    <n v="2"/>
    <x v="111"/>
    <n v="624"/>
    <s v="Refunded"/>
  </r>
  <r>
    <x v="127"/>
    <x v="98"/>
    <x v="4"/>
    <x v="2"/>
    <x v="3"/>
    <x v="69"/>
    <x v="0"/>
    <n v="2"/>
    <x v="112"/>
    <n v="136"/>
    <s v="Refunded"/>
  </r>
  <r>
    <x v="128"/>
    <x v="57"/>
    <x v="1"/>
    <x v="3"/>
    <x v="2"/>
    <x v="92"/>
    <x v="6"/>
    <n v="3"/>
    <x v="113"/>
    <n v="6408"/>
    <s v="Partially Paid"/>
  </r>
  <r>
    <x v="129"/>
    <x v="17"/>
    <x v="2"/>
    <x v="1"/>
    <x v="0"/>
    <x v="15"/>
    <x v="0"/>
    <n v="1"/>
    <x v="114"/>
    <n v="306"/>
    <s v="Partially Paid"/>
  </r>
  <r>
    <x v="130"/>
    <x v="49"/>
    <x v="4"/>
    <x v="2"/>
    <x v="2"/>
    <x v="68"/>
    <x v="4"/>
    <n v="3"/>
    <x v="92"/>
    <n v="804"/>
    <s v="Partially Paid"/>
  </r>
  <r>
    <x v="131"/>
    <x v="49"/>
    <x v="0"/>
    <x v="0"/>
    <x v="0"/>
    <x v="13"/>
    <x v="2"/>
    <n v="4"/>
    <x v="115"/>
    <n v="964"/>
    <s v="Paid"/>
  </r>
  <r>
    <x v="132"/>
    <x v="16"/>
    <x v="0"/>
    <x v="3"/>
    <x v="0"/>
    <x v="93"/>
    <x v="3"/>
    <n v="1"/>
    <x v="15"/>
    <n v="1589"/>
    <s v="Paid"/>
  </r>
  <r>
    <x v="133"/>
    <x v="43"/>
    <x v="0"/>
    <x v="5"/>
    <x v="0"/>
    <x v="94"/>
    <x v="8"/>
    <n v="4"/>
    <x v="6"/>
    <n v="2670"/>
    <s v="Paid"/>
  </r>
  <r>
    <x v="134"/>
    <x v="77"/>
    <x v="2"/>
    <x v="1"/>
    <x v="0"/>
    <x v="95"/>
    <x v="9"/>
    <n v="2"/>
    <x v="116"/>
    <n v="740"/>
    <s v="Pending"/>
  </r>
  <r>
    <x v="135"/>
    <x v="71"/>
    <x v="3"/>
    <x v="2"/>
    <x v="3"/>
    <x v="96"/>
    <x v="0"/>
    <n v="3"/>
    <x v="117"/>
    <n v="463"/>
    <s v="Partially Paid"/>
  </r>
  <r>
    <x v="136"/>
    <x v="99"/>
    <x v="4"/>
    <x v="5"/>
    <x v="2"/>
    <x v="8"/>
    <x v="9"/>
    <n v="4"/>
    <x v="80"/>
    <n v="270"/>
    <s v="Refunded"/>
  </r>
  <r>
    <x v="137"/>
    <x v="46"/>
    <x v="0"/>
    <x v="1"/>
    <x v="3"/>
    <x v="97"/>
    <x v="0"/>
    <n v="1"/>
    <x v="118"/>
    <n v="256"/>
    <s v="Partially Paid"/>
  </r>
  <r>
    <x v="138"/>
    <x v="46"/>
    <x v="0"/>
    <x v="0"/>
    <x v="3"/>
    <x v="98"/>
    <x v="1"/>
    <n v="4"/>
    <x v="119"/>
    <n v="1720"/>
    <s v="Paid"/>
  </r>
  <r>
    <x v="139"/>
    <x v="100"/>
    <x v="3"/>
    <x v="2"/>
    <x v="0"/>
    <x v="12"/>
    <x v="1"/>
    <n v="1"/>
    <x v="120"/>
    <n v="3520"/>
    <s v="Paid"/>
  </r>
  <r>
    <x v="140"/>
    <x v="101"/>
    <x v="4"/>
    <x v="0"/>
    <x v="1"/>
    <x v="99"/>
    <x v="6"/>
    <n v="4"/>
    <x v="121"/>
    <n v="1530"/>
    <s v="Refunded"/>
  </r>
  <r>
    <x v="141"/>
    <x v="83"/>
    <x v="1"/>
    <x v="1"/>
    <x v="0"/>
    <x v="38"/>
    <x v="0"/>
    <n v="1"/>
    <x v="122"/>
    <n v="627"/>
    <s v="Paid"/>
  </r>
  <r>
    <x v="142"/>
    <x v="102"/>
    <x v="3"/>
    <x v="4"/>
    <x v="1"/>
    <x v="30"/>
    <x v="7"/>
    <n v="4"/>
    <x v="123"/>
    <n v="2690"/>
    <s v="Paid"/>
  </r>
  <r>
    <x v="143"/>
    <x v="31"/>
    <x v="1"/>
    <x v="2"/>
    <x v="2"/>
    <x v="100"/>
    <x v="5"/>
    <n v="3"/>
    <x v="124"/>
    <n v="1524"/>
    <s v="Paid"/>
  </r>
  <r>
    <x v="144"/>
    <x v="103"/>
    <x v="2"/>
    <x v="4"/>
    <x v="3"/>
    <x v="54"/>
    <x v="0"/>
    <n v="2"/>
    <x v="7"/>
    <n v="396"/>
    <s v="Partially Paid"/>
  </r>
  <r>
    <x v="145"/>
    <x v="104"/>
    <x v="1"/>
    <x v="5"/>
    <x v="0"/>
    <x v="101"/>
    <x v="5"/>
    <n v="2"/>
    <x v="125"/>
    <n v="1773"/>
    <s v="Partially Paid"/>
  </r>
  <r>
    <x v="146"/>
    <x v="54"/>
    <x v="0"/>
    <x v="2"/>
    <x v="0"/>
    <x v="18"/>
    <x v="0"/>
    <n v="3"/>
    <x v="36"/>
    <n v="275"/>
    <s v="Pending"/>
  </r>
  <r>
    <x v="147"/>
    <x v="23"/>
    <x v="1"/>
    <x v="5"/>
    <x v="3"/>
    <x v="68"/>
    <x v="4"/>
    <n v="2"/>
    <x v="126"/>
    <n v="3528"/>
    <s v="Paid"/>
  </r>
  <r>
    <x v="148"/>
    <x v="105"/>
    <x v="0"/>
    <x v="4"/>
    <x v="0"/>
    <x v="102"/>
    <x v="6"/>
    <n v="1"/>
    <x v="127"/>
    <n v="2520"/>
    <s v="Pending"/>
  </r>
  <r>
    <x v="149"/>
    <x v="106"/>
    <x v="1"/>
    <x v="0"/>
    <x v="2"/>
    <x v="94"/>
    <x v="3"/>
    <n v="3"/>
    <x v="128"/>
    <n v="3248"/>
    <s v="Partially Paid"/>
  </r>
  <r>
    <x v="150"/>
    <x v="107"/>
    <x v="0"/>
    <x v="5"/>
    <x v="0"/>
    <x v="0"/>
    <x v="4"/>
    <n v="2"/>
    <x v="129"/>
    <n v="1296"/>
    <s v="Pending"/>
  </r>
  <r>
    <x v="151"/>
    <x v="108"/>
    <x v="1"/>
    <x v="2"/>
    <x v="2"/>
    <x v="103"/>
    <x v="4"/>
    <n v="1"/>
    <x v="130"/>
    <n v="4188"/>
    <s v="Pending"/>
  </r>
  <r>
    <x v="152"/>
    <x v="54"/>
    <x v="1"/>
    <x v="5"/>
    <x v="2"/>
    <x v="104"/>
    <x v="9"/>
    <n v="4"/>
    <x v="131"/>
    <n v="1232"/>
    <s v="Pending"/>
  </r>
  <r>
    <x v="153"/>
    <x v="1"/>
    <x v="1"/>
    <x v="4"/>
    <x v="1"/>
    <x v="105"/>
    <x v="9"/>
    <n v="1"/>
    <x v="132"/>
    <n v="1290"/>
    <s v="Refunded"/>
  </r>
  <r>
    <x v="154"/>
    <x v="109"/>
    <x v="1"/>
    <x v="4"/>
    <x v="2"/>
    <x v="106"/>
    <x v="2"/>
    <n v="1"/>
    <x v="133"/>
    <n v="2300"/>
    <s v="Refunded"/>
  </r>
  <r>
    <x v="155"/>
    <x v="46"/>
    <x v="3"/>
    <x v="5"/>
    <x v="2"/>
    <x v="107"/>
    <x v="4"/>
    <n v="2"/>
    <x v="134"/>
    <n v="2742"/>
    <s v="Refunded"/>
  </r>
  <r>
    <x v="156"/>
    <x v="26"/>
    <x v="4"/>
    <x v="5"/>
    <x v="0"/>
    <x v="37"/>
    <x v="6"/>
    <n v="3"/>
    <x v="65"/>
    <n v="1017"/>
    <s v="Pending"/>
  </r>
  <r>
    <x v="157"/>
    <x v="110"/>
    <x v="3"/>
    <x v="4"/>
    <x v="0"/>
    <x v="18"/>
    <x v="8"/>
    <n v="3"/>
    <x v="106"/>
    <n v="5190"/>
    <s v="Paid"/>
  </r>
  <r>
    <x v="158"/>
    <x v="4"/>
    <x v="2"/>
    <x v="5"/>
    <x v="1"/>
    <x v="102"/>
    <x v="8"/>
    <n v="2"/>
    <x v="135"/>
    <n v="2590"/>
    <s v="Partially Paid"/>
  </r>
  <r>
    <x v="159"/>
    <x v="78"/>
    <x v="3"/>
    <x v="0"/>
    <x v="0"/>
    <x v="108"/>
    <x v="9"/>
    <n v="1"/>
    <x v="136"/>
    <n v="916"/>
    <s v="Pending"/>
  </r>
  <r>
    <x v="160"/>
    <x v="111"/>
    <x v="2"/>
    <x v="3"/>
    <x v="2"/>
    <x v="109"/>
    <x v="0"/>
    <n v="3"/>
    <x v="137"/>
    <n v="338"/>
    <s v="Paid"/>
  </r>
  <r>
    <x v="161"/>
    <x v="91"/>
    <x v="3"/>
    <x v="1"/>
    <x v="2"/>
    <x v="89"/>
    <x v="4"/>
    <n v="4"/>
    <x v="30"/>
    <n v="2184"/>
    <s v="Partially Paid"/>
  </r>
  <r>
    <x v="162"/>
    <x v="79"/>
    <x v="1"/>
    <x v="3"/>
    <x v="0"/>
    <x v="110"/>
    <x v="4"/>
    <n v="3"/>
    <x v="138"/>
    <n v="3066"/>
    <s v="Partially Paid"/>
  </r>
  <r>
    <x v="163"/>
    <x v="40"/>
    <x v="1"/>
    <x v="2"/>
    <x v="1"/>
    <x v="111"/>
    <x v="8"/>
    <n v="1"/>
    <x v="139"/>
    <n v="6790"/>
    <s v="Pending"/>
  </r>
  <r>
    <x v="164"/>
    <x v="41"/>
    <x v="3"/>
    <x v="5"/>
    <x v="0"/>
    <x v="112"/>
    <x v="8"/>
    <n v="1"/>
    <x v="140"/>
    <n v="4500"/>
    <s v="Pending"/>
  </r>
  <r>
    <x v="165"/>
    <x v="112"/>
    <x v="3"/>
    <x v="3"/>
    <x v="0"/>
    <x v="113"/>
    <x v="0"/>
    <n v="2"/>
    <x v="141"/>
    <n v="456"/>
    <s v="Pending"/>
  </r>
  <r>
    <x v="166"/>
    <x v="113"/>
    <x v="0"/>
    <x v="2"/>
    <x v="1"/>
    <x v="107"/>
    <x v="1"/>
    <n v="4"/>
    <x v="119"/>
    <n v="1720"/>
    <s v="Paid"/>
  </r>
  <r>
    <x v="167"/>
    <x v="32"/>
    <x v="1"/>
    <x v="0"/>
    <x v="2"/>
    <x v="114"/>
    <x v="0"/>
    <n v="3"/>
    <x v="142"/>
    <n v="670"/>
    <s v="Partially Paid"/>
  </r>
  <r>
    <x v="168"/>
    <x v="114"/>
    <x v="0"/>
    <x v="3"/>
    <x v="1"/>
    <x v="115"/>
    <x v="9"/>
    <n v="1"/>
    <x v="135"/>
    <n v="518"/>
    <s v="Paid"/>
  </r>
  <r>
    <x v="169"/>
    <x v="115"/>
    <x v="4"/>
    <x v="2"/>
    <x v="2"/>
    <x v="116"/>
    <x v="6"/>
    <n v="1"/>
    <x v="143"/>
    <n v="1197"/>
    <s v="Pending"/>
  </r>
  <r>
    <x v="170"/>
    <x v="75"/>
    <x v="3"/>
    <x v="3"/>
    <x v="2"/>
    <x v="12"/>
    <x v="3"/>
    <n v="3"/>
    <x v="57"/>
    <n v="2877"/>
    <s v="Partially Paid"/>
  </r>
  <r>
    <x v="171"/>
    <x v="76"/>
    <x v="1"/>
    <x v="3"/>
    <x v="2"/>
    <x v="117"/>
    <x v="7"/>
    <n v="1"/>
    <x v="144"/>
    <n v="2385"/>
    <s v="Pending"/>
  </r>
  <r>
    <x v="172"/>
    <x v="116"/>
    <x v="1"/>
    <x v="1"/>
    <x v="1"/>
    <x v="118"/>
    <x v="4"/>
    <n v="1"/>
    <x v="145"/>
    <n v="4458"/>
    <s v="Refunded"/>
  </r>
  <r>
    <x v="173"/>
    <x v="117"/>
    <x v="0"/>
    <x v="1"/>
    <x v="0"/>
    <x v="119"/>
    <x v="9"/>
    <n v="2"/>
    <x v="146"/>
    <n v="492"/>
    <s v="Refunded"/>
  </r>
  <r>
    <x v="174"/>
    <x v="118"/>
    <x v="2"/>
    <x v="3"/>
    <x v="3"/>
    <x v="18"/>
    <x v="4"/>
    <n v="3"/>
    <x v="147"/>
    <n v="2250"/>
    <s v="Pending"/>
  </r>
  <r>
    <x v="175"/>
    <x v="25"/>
    <x v="4"/>
    <x v="1"/>
    <x v="1"/>
    <x v="59"/>
    <x v="2"/>
    <n v="4"/>
    <x v="148"/>
    <n v="504"/>
    <s v="Partially Paid"/>
  </r>
  <r>
    <x v="176"/>
    <x v="24"/>
    <x v="4"/>
    <x v="5"/>
    <x v="0"/>
    <x v="120"/>
    <x v="5"/>
    <n v="4"/>
    <x v="149"/>
    <n v="468"/>
    <s v="Pending"/>
  </r>
  <r>
    <x v="177"/>
    <x v="119"/>
    <x v="1"/>
    <x v="5"/>
    <x v="2"/>
    <x v="34"/>
    <x v="7"/>
    <n v="2"/>
    <x v="150"/>
    <n v="2765"/>
    <s v="Refunded"/>
  </r>
  <r>
    <x v="178"/>
    <x v="120"/>
    <x v="0"/>
    <x v="5"/>
    <x v="2"/>
    <x v="39"/>
    <x v="5"/>
    <n v="2"/>
    <x v="110"/>
    <n v="708"/>
    <s v="Partially Paid"/>
  </r>
  <r>
    <x v="179"/>
    <x v="121"/>
    <x v="1"/>
    <x v="5"/>
    <x v="2"/>
    <x v="121"/>
    <x v="4"/>
    <n v="1"/>
    <x v="151"/>
    <n v="4290"/>
    <s v="Partially Paid"/>
  </r>
  <r>
    <x v="180"/>
    <x v="85"/>
    <x v="4"/>
    <x v="2"/>
    <x v="1"/>
    <x v="120"/>
    <x v="6"/>
    <n v="2"/>
    <x v="152"/>
    <n v="972"/>
    <s v="Pending"/>
  </r>
  <r>
    <x v="181"/>
    <x v="122"/>
    <x v="0"/>
    <x v="0"/>
    <x v="3"/>
    <x v="70"/>
    <x v="1"/>
    <n v="4"/>
    <x v="90"/>
    <n v="1552"/>
    <s v="Pending"/>
  </r>
  <r>
    <x v="182"/>
    <x v="47"/>
    <x v="1"/>
    <x v="3"/>
    <x v="3"/>
    <x v="33"/>
    <x v="2"/>
    <n v="4"/>
    <x v="153"/>
    <n v="2604"/>
    <s v="Partially Paid"/>
  </r>
  <r>
    <x v="183"/>
    <x v="90"/>
    <x v="0"/>
    <x v="1"/>
    <x v="2"/>
    <x v="122"/>
    <x v="6"/>
    <n v="2"/>
    <x v="135"/>
    <n v="2331"/>
    <s v="Partially Paid"/>
  </r>
  <r>
    <x v="184"/>
    <x v="105"/>
    <x v="1"/>
    <x v="2"/>
    <x v="0"/>
    <x v="123"/>
    <x v="3"/>
    <n v="1"/>
    <x v="154"/>
    <n v="3185"/>
    <s v="Pending"/>
  </r>
  <r>
    <x v="185"/>
    <x v="67"/>
    <x v="0"/>
    <x v="0"/>
    <x v="2"/>
    <x v="124"/>
    <x v="3"/>
    <n v="3"/>
    <x v="101"/>
    <n v="1330"/>
    <s v="Paid"/>
  </r>
  <r>
    <x v="186"/>
    <x v="123"/>
    <x v="2"/>
    <x v="2"/>
    <x v="2"/>
    <x v="85"/>
    <x v="8"/>
    <n v="2"/>
    <x v="155"/>
    <n v="2790"/>
    <s v="Pending"/>
  </r>
  <r>
    <x v="187"/>
    <x v="124"/>
    <x v="1"/>
    <x v="1"/>
    <x v="2"/>
    <x v="118"/>
    <x v="3"/>
    <n v="1"/>
    <x v="156"/>
    <n v="5096"/>
    <s v="Partially Paid"/>
  </r>
  <r>
    <x v="188"/>
    <x v="121"/>
    <x v="0"/>
    <x v="3"/>
    <x v="2"/>
    <x v="51"/>
    <x v="8"/>
    <n v="4"/>
    <x v="6"/>
    <n v="2670"/>
    <s v="Refunded"/>
  </r>
  <r>
    <x v="189"/>
    <x v="25"/>
    <x v="2"/>
    <x v="3"/>
    <x v="2"/>
    <x v="65"/>
    <x v="3"/>
    <n v="4"/>
    <x v="157"/>
    <n v="2380"/>
    <s v="Partially Paid"/>
  </r>
  <r>
    <x v="190"/>
    <x v="111"/>
    <x v="1"/>
    <x v="0"/>
    <x v="1"/>
    <x v="125"/>
    <x v="6"/>
    <n v="2"/>
    <x v="158"/>
    <n v="4185"/>
    <s v="Refunded"/>
  </r>
  <r>
    <x v="191"/>
    <x v="125"/>
    <x v="4"/>
    <x v="0"/>
    <x v="1"/>
    <x v="81"/>
    <x v="2"/>
    <n v="3"/>
    <x v="159"/>
    <n v="548"/>
    <s v="Refunded"/>
  </r>
  <r>
    <x v="192"/>
    <x v="114"/>
    <x v="4"/>
    <x v="5"/>
    <x v="3"/>
    <x v="126"/>
    <x v="8"/>
    <n v="3"/>
    <x v="67"/>
    <n v="1150"/>
    <s v="Partially Paid"/>
  </r>
  <r>
    <x v="193"/>
    <x v="92"/>
    <x v="0"/>
    <x v="5"/>
    <x v="0"/>
    <x v="127"/>
    <x v="9"/>
    <n v="3"/>
    <x v="160"/>
    <n v="396"/>
    <s v="Paid"/>
  </r>
  <r>
    <x v="194"/>
    <x v="78"/>
    <x v="3"/>
    <x v="3"/>
    <x v="1"/>
    <x v="86"/>
    <x v="8"/>
    <n v="1"/>
    <x v="161"/>
    <n v="3560"/>
    <s v="Pending"/>
  </r>
  <r>
    <x v="195"/>
    <x v="71"/>
    <x v="2"/>
    <x v="0"/>
    <x v="2"/>
    <x v="128"/>
    <x v="5"/>
    <n v="2"/>
    <x v="162"/>
    <n v="1038"/>
    <s v="Partially Paid"/>
  </r>
  <r>
    <x v="196"/>
    <x v="126"/>
    <x v="0"/>
    <x v="2"/>
    <x v="1"/>
    <x v="34"/>
    <x v="0"/>
    <n v="4"/>
    <x v="163"/>
    <n v="225"/>
    <s v="Pending"/>
  </r>
  <r>
    <x v="197"/>
    <x v="127"/>
    <x v="1"/>
    <x v="5"/>
    <x v="2"/>
    <x v="67"/>
    <x v="2"/>
    <n v="3"/>
    <x v="164"/>
    <n v="2544"/>
    <s v="Pending"/>
  </r>
  <r>
    <x v="198"/>
    <x v="77"/>
    <x v="2"/>
    <x v="5"/>
    <x v="2"/>
    <x v="92"/>
    <x v="5"/>
    <n v="3"/>
    <x v="165"/>
    <n v="939"/>
    <s v="Refunded"/>
  </r>
  <r>
    <x v="199"/>
    <x v="128"/>
    <x v="2"/>
    <x v="3"/>
    <x v="1"/>
    <x v="14"/>
    <x v="6"/>
    <n v="2"/>
    <x v="166"/>
    <n v="2457"/>
    <s v="Pending"/>
  </r>
  <r>
    <x v="200"/>
    <x v="54"/>
    <x v="1"/>
    <x v="5"/>
    <x v="2"/>
    <x v="113"/>
    <x v="8"/>
    <n v="2"/>
    <x v="167"/>
    <n v="5170"/>
    <s v="Pending"/>
  </r>
  <r>
    <x v="201"/>
    <x v="95"/>
    <x v="2"/>
    <x v="3"/>
    <x v="3"/>
    <x v="129"/>
    <x v="4"/>
    <n v="4"/>
    <x v="168"/>
    <n v="2310"/>
    <s v="Refunded"/>
  </r>
  <r>
    <x v="202"/>
    <x v="72"/>
    <x v="2"/>
    <x v="1"/>
    <x v="0"/>
    <x v="130"/>
    <x v="0"/>
    <n v="4"/>
    <x v="169"/>
    <n v="353"/>
    <s v="Partially Paid"/>
  </r>
  <r>
    <x v="203"/>
    <x v="129"/>
    <x v="2"/>
    <x v="0"/>
    <x v="3"/>
    <x v="117"/>
    <x v="3"/>
    <n v="3"/>
    <x v="170"/>
    <n v="2254"/>
    <s v="Partially Paid"/>
  </r>
  <r>
    <x v="204"/>
    <x v="130"/>
    <x v="2"/>
    <x v="1"/>
    <x v="3"/>
    <x v="110"/>
    <x v="4"/>
    <n v="3"/>
    <x v="171"/>
    <n v="1506"/>
    <s v="Paid"/>
  </r>
  <r>
    <x v="205"/>
    <x v="76"/>
    <x v="0"/>
    <x v="4"/>
    <x v="1"/>
    <x v="131"/>
    <x v="5"/>
    <n v="4"/>
    <x v="172"/>
    <n v="612"/>
    <s v="Refunded"/>
  </r>
  <r>
    <x v="206"/>
    <x v="131"/>
    <x v="4"/>
    <x v="2"/>
    <x v="1"/>
    <x v="126"/>
    <x v="2"/>
    <n v="3"/>
    <x v="173"/>
    <n v="636"/>
    <s v="Refunded"/>
  </r>
  <r>
    <x v="207"/>
    <x v="132"/>
    <x v="4"/>
    <x v="2"/>
    <x v="0"/>
    <x v="132"/>
    <x v="5"/>
    <n v="1"/>
    <x v="77"/>
    <n v="369"/>
    <s v="Partially Paid"/>
  </r>
  <r>
    <x v="208"/>
    <x v="105"/>
    <x v="1"/>
    <x v="4"/>
    <x v="0"/>
    <x v="133"/>
    <x v="6"/>
    <n v="1"/>
    <x v="174"/>
    <n v="5355"/>
    <s v="Pending"/>
  </r>
  <r>
    <x v="209"/>
    <x v="102"/>
    <x v="1"/>
    <x v="2"/>
    <x v="2"/>
    <x v="16"/>
    <x v="2"/>
    <n v="2"/>
    <x v="53"/>
    <n v="2156"/>
    <s v="Refunded"/>
  </r>
  <r>
    <x v="210"/>
    <x v="45"/>
    <x v="4"/>
    <x v="0"/>
    <x v="0"/>
    <x v="51"/>
    <x v="5"/>
    <n v="4"/>
    <x v="175"/>
    <n v="354"/>
    <s v="Refunded"/>
  </r>
  <r>
    <x v="211"/>
    <x v="133"/>
    <x v="1"/>
    <x v="1"/>
    <x v="0"/>
    <x v="134"/>
    <x v="4"/>
    <n v="2"/>
    <x v="176"/>
    <n v="4158"/>
    <s v="Partially Paid"/>
  </r>
  <r>
    <x v="212"/>
    <x v="134"/>
    <x v="3"/>
    <x v="5"/>
    <x v="2"/>
    <x v="10"/>
    <x v="6"/>
    <n v="1"/>
    <x v="177"/>
    <n v="3582"/>
    <s v="Pending"/>
  </r>
  <r>
    <x v="213"/>
    <x v="96"/>
    <x v="2"/>
    <x v="3"/>
    <x v="0"/>
    <x v="75"/>
    <x v="9"/>
    <n v="2"/>
    <x v="68"/>
    <n v="520"/>
    <s v="Pending"/>
  </r>
  <r>
    <x v="214"/>
    <x v="14"/>
    <x v="1"/>
    <x v="2"/>
    <x v="0"/>
    <x v="39"/>
    <x v="6"/>
    <n v="4"/>
    <x v="178"/>
    <n v="6579"/>
    <s v="Refunded"/>
  </r>
  <r>
    <x v="215"/>
    <x v="135"/>
    <x v="3"/>
    <x v="2"/>
    <x v="3"/>
    <x v="97"/>
    <x v="0"/>
    <n v="2"/>
    <x v="62"/>
    <n v="530"/>
    <s v="Partially Paid"/>
  </r>
  <r>
    <x v="216"/>
    <x v="136"/>
    <x v="1"/>
    <x v="4"/>
    <x v="3"/>
    <x v="131"/>
    <x v="2"/>
    <n v="1"/>
    <x v="179"/>
    <n v="2272"/>
    <s v="Pending"/>
  </r>
  <r>
    <x v="217"/>
    <x v="72"/>
    <x v="1"/>
    <x v="1"/>
    <x v="2"/>
    <x v="46"/>
    <x v="6"/>
    <n v="3"/>
    <x v="145"/>
    <n v="6687"/>
    <s v="Pending"/>
  </r>
  <r>
    <x v="218"/>
    <x v="137"/>
    <x v="0"/>
    <x v="4"/>
    <x v="3"/>
    <x v="135"/>
    <x v="4"/>
    <n v="3"/>
    <x v="180"/>
    <n v="1488"/>
    <s v="Refunded"/>
  </r>
  <r>
    <x v="219"/>
    <x v="138"/>
    <x v="3"/>
    <x v="2"/>
    <x v="0"/>
    <x v="136"/>
    <x v="1"/>
    <n v="4"/>
    <x v="181"/>
    <n v="4008"/>
    <s v="Refunded"/>
  </r>
  <r>
    <x v="220"/>
    <x v="139"/>
    <x v="4"/>
    <x v="1"/>
    <x v="3"/>
    <x v="89"/>
    <x v="9"/>
    <n v="1"/>
    <x v="67"/>
    <n v="230"/>
    <s v="Partially Paid"/>
  </r>
  <r>
    <x v="221"/>
    <x v="127"/>
    <x v="1"/>
    <x v="0"/>
    <x v="2"/>
    <x v="112"/>
    <x v="2"/>
    <n v="3"/>
    <x v="182"/>
    <n v="2620"/>
    <s v="Partially Paid"/>
  </r>
  <r>
    <x v="222"/>
    <x v="46"/>
    <x v="0"/>
    <x v="4"/>
    <x v="3"/>
    <x v="137"/>
    <x v="0"/>
    <n v="1"/>
    <x v="183"/>
    <n v="272"/>
    <s v="Partially Paid"/>
  </r>
  <r>
    <x v="223"/>
    <x v="42"/>
    <x v="3"/>
    <x v="2"/>
    <x v="3"/>
    <x v="138"/>
    <x v="7"/>
    <n v="2"/>
    <x v="184"/>
    <n v="2425"/>
    <s v="Paid"/>
  </r>
  <r>
    <x v="224"/>
    <x v="79"/>
    <x v="3"/>
    <x v="1"/>
    <x v="2"/>
    <x v="139"/>
    <x v="1"/>
    <n v="4"/>
    <x v="185"/>
    <n v="3552"/>
    <s v="Refunded"/>
  </r>
  <r>
    <x v="225"/>
    <x v="73"/>
    <x v="1"/>
    <x v="1"/>
    <x v="2"/>
    <x v="15"/>
    <x v="3"/>
    <n v="1"/>
    <x v="176"/>
    <n v="4851"/>
    <s v="Partially Paid"/>
  </r>
  <r>
    <x v="226"/>
    <x v="140"/>
    <x v="1"/>
    <x v="3"/>
    <x v="0"/>
    <x v="105"/>
    <x v="8"/>
    <n v="3"/>
    <x v="186"/>
    <n v="5940"/>
    <s v="Pending"/>
  </r>
  <r>
    <x v="227"/>
    <x v="141"/>
    <x v="2"/>
    <x v="1"/>
    <x v="3"/>
    <x v="140"/>
    <x v="4"/>
    <n v="2"/>
    <x v="187"/>
    <n v="1866"/>
    <s v="Refunded"/>
  </r>
  <r>
    <x v="228"/>
    <x v="123"/>
    <x v="0"/>
    <x v="4"/>
    <x v="2"/>
    <x v="141"/>
    <x v="0"/>
    <n v="2"/>
    <x v="188"/>
    <n v="189"/>
    <s v="Refunded"/>
  </r>
  <r>
    <x v="229"/>
    <x v="100"/>
    <x v="2"/>
    <x v="3"/>
    <x v="1"/>
    <x v="29"/>
    <x v="9"/>
    <n v="4"/>
    <x v="189"/>
    <n v="516"/>
    <s v="Paid"/>
  </r>
  <r>
    <x v="230"/>
    <x v="13"/>
    <x v="1"/>
    <x v="5"/>
    <x v="0"/>
    <x v="12"/>
    <x v="6"/>
    <n v="3"/>
    <x v="190"/>
    <n v="5283"/>
    <s v="Refunded"/>
  </r>
  <r>
    <x v="231"/>
    <x v="35"/>
    <x v="4"/>
    <x v="0"/>
    <x v="2"/>
    <x v="142"/>
    <x v="7"/>
    <n v="2"/>
    <x v="191"/>
    <n v="855"/>
    <s v="Pending"/>
  </r>
  <r>
    <x v="232"/>
    <x v="142"/>
    <x v="3"/>
    <x v="5"/>
    <x v="1"/>
    <x v="143"/>
    <x v="1"/>
    <n v="4"/>
    <x v="192"/>
    <n v="4200"/>
    <s v="Refunded"/>
  </r>
  <r>
    <x v="233"/>
    <x v="128"/>
    <x v="1"/>
    <x v="1"/>
    <x v="1"/>
    <x v="144"/>
    <x v="6"/>
    <n v="2"/>
    <x v="193"/>
    <n v="5103"/>
    <s v="Paid"/>
  </r>
  <r>
    <x v="234"/>
    <x v="127"/>
    <x v="2"/>
    <x v="0"/>
    <x v="0"/>
    <x v="50"/>
    <x v="9"/>
    <n v="1"/>
    <x v="194"/>
    <n v="526"/>
    <s v="Paid"/>
  </r>
  <r>
    <x v="235"/>
    <x v="92"/>
    <x v="0"/>
    <x v="1"/>
    <x v="3"/>
    <x v="104"/>
    <x v="8"/>
    <n v="4"/>
    <x v="183"/>
    <n v="2720"/>
    <s v="Pending"/>
  </r>
  <r>
    <x v="236"/>
    <x v="10"/>
    <x v="2"/>
    <x v="4"/>
    <x v="0"/>
    <x v="138"/>
    <x v="0"/>
    <n v="4"/>
    <x v="195"/>
    <n v="354"/>
    <s v="Partially Paid"/>
  </r>
  <r>
    <x v="237"/>
    <x v="69"/>
    <x v="1"/>
    <x v="2"/>
    <x v="1"/>
    <x v="125"/>
    <x v="9"/>
    <n v="1"/>
    <x v="164"/>
    <n v="1272"/>
    <s v="Paid"/>
  </r>
  <r>
    <x v="238"/>
    <x v="139"/>
    <x v="3"/>
    <x v="0"/>
    <x v="3"/>
    <x v="145"/>
    <x v="3"/>
    <n v="1"/>
    <x v="46"/>
    <n v="3122"/>
    <s v="Pending"/>
  </r>
  <r>
    <x v="239"/>
    <x v="143"/>
    <x v="3"/>
    <x v="0"/>
    <x v="3"/>
    <x v="146"/>
    <x v="2"/>
    <n v="2"/>
    <x v="196"/>
    <n v="1904"/>
    <s v="Paid"/>
  </r>
  <r>
    <x v="240"/>
    <x v="144"/>
    <x v="0"/>
    <x v="5"/>
    <x v="3"/>
    <x v="147"/>
    <x v="4"/>
    <n v="4"/>
    <x v="197"/>
    <n v="1116"/>
    <s v="Paid"/>
  </r>
  <r>
    <x v="241"/>
    <x v="123"/>
    <x v="0"/>
    <x v="1"/>
    <x v="0"/>
    <x v="148"/>
    <x v="2"/>
    <n v="4"/>
    <x v="49"/>
    <n v="1048"/>
    <s v="Paid"/>
  </r>
  <r>
    <x v="242"/>
    <x v="112"/>
    <x v="1"/>
    <x v="5"/>
    <x v="1"/>
    <x v="4"/>
    <x v="2"/>
    <n v="1"/>
    <x v="198"/>
    <n v="2164"/>
    <s v="Refunded"/>
  </r>
  <r>
    <x v="243"/>
    <x v="89"/>
    <x v="4"/>
    <x v="4"/>
    <x v="1"/>
    <x v="3"/>
    <x v="8"/>
    <n v="3"/>
    <x v="199"/>
    <n v="1250"/>
    <s v="Partially Paid"/>
  </r>
  <r>
    <x v="244"/>
    <x v="145"/>
    <x v="4"/>
    <x v="2"/>
    <x v="3"/>
    <x v="149"/>
    <x v="0"/>
    <n v="3"/>
    <x v="17"/>
    <n v="155"/>
    <s v="Pending"/>
  </r>
  <r>
    <x v="245"/>
    <x v="117"/>
    <x v="4"/>
    <x v="0"/>
    <x v="1"/>
    <x v="64"/>
    <x v="4"/>
    <n v="2"/>
    <x v="200"/>
    <n v="780"/>
    <s v="Partially Paid"/>
  </r>
  <r>
    <x v="246"/>
    <x v="122"/>
    <x v="0"/>
    <x v="1"/>
    <x v="1"/>
    <x v="43"/>
    <x v="3"/>
    <n v="2"/>
    <x v="201"/>
    <n v="1337"/>
    <s v="Refunded"/>
  </r>
  <r>
    <x v="247"/>
    <x v="146"/>
    <x v="3"/>
    <x v="1"/>
    <x v="3"/>
    <x v="46"/>
    <x v="7"/>
    <n v="1"/>
    <x v="18"/>
    <n v="1810"/>
    <s v="Paid"/>
  </r>
  <r>
    <x v="248"/>
    <x v="147"/>
    <x v="2"/>
    <x v="1"/>
    <x v="3"/>
    <x v="150"/>
    <x v="7"/>
    <n v="1"/>
    <x v="202"/>
    <n v="1935"/>
    <s v="Paid"/>
  </r>
  <r>
    <x v="249"/>
    <x v="148"/>
    <x v="0"/>
    <x v="2"/>
    <x v="0"/>
    <x v="19"/>
    <x v="0"/>
    <n v="1"/>
    <x v="203"/>
    <n v="213"/>
    <s v="Pending"/>
  </r>
  <r>
    <x v="250"/>
    <x v="149"/>
    <x v="1"/>
    <x v="1"/>
    <x v="3"/>
    <x v="151"/>
    <x v="5"/>
    <n v="4"/>
    <x v="204"/>
    <n v="2160"/>
    <s v="Partially Paid"/>
  </r>
  <r>
    <x v="251"/>
    <x v="94"/>
    <x v="1"/>
    <x v="4"/>
    <x v="3"/>
    <x v="17"/>
    <x v="4"/>
    <n v="2"/>
    <x v="205"/>
    <n v="4296"/>
    <s v="Partially Paid"/>
  </r>
  <r>
    <x v="252"/>
    <x v="44"/>
    <x v="0"/>
    <x v="2"/>
    <x v="2"/>
    <x v="130"/>
    <x v="7"/>
    <n v="2"/>
    <x v="90"/>
    <n v="970"/>
    <s v="Paid"/>
  </r>
  <r>
    <x v="253"/>
    <x v="150"/>
    <x v="2"/>
    <x v="4"/>
    <x v="1"/>
    <x v="152"/>
    <x v="2"/>
    <n v="4"/>
    <x v="206"/>
    <n v="1504"/>
    <s v="Paid"/>
  </r>
  <r>
    <x v="254"/>
    <x v="142"/>
    <x v="2"/>
    <x v="3"/>
    <x v="2"/>
    <x v="13"/>
    <x v="4"/>
    <n v="2"/>
    <x v="207"/>
    <n v="1764"/>
    <s v="Refunded"/>
  </r>
  <r>
    <x v="255"/>
    <x v="11"/>
    <x v="0"/>
    <x v="5"/>
    <x v="3"/>
    <x v="51"/>
    <x v="3"/>
    <n v="2"/>
    <x v="208"/>
    <n v="1638"/>
    <s v="Pending"/>
  </r>
  <r>
    <x v="256"/>
    <x v="151"/>
    <x v="3"/>
    <x v="3"/>
    <x v="0"/>
    <x v="153"/>
    <x v="4"/>
    <n v="1"/>
    <x v="209"/>
    <n v="2946"/>
    <s v="Pending"/>
  </r>
  <r>
    <x v="257"/>
    <x v="84"/>
    <x v="2"/>
    <x v="1"/>
    <x v="2"/>
    <x v="154"/>
    <x v="5"/>
    <n v="1"/>
    <x v="38"/>
    <n v="822"/>
    <s v="Refunded"/>
  </r>
  <r>
    <x v="258"/>
    <x v="152"/>
    <x v="2"/>
    <x v="5"/>
    <x v="1"/>
    <x v="149"/>
    <x v="7"/>
    <n v="1"/>
    <x v="170"/>
    <n v="1610"/>
    <s v="Partially Paid"/>
  </r>
  <r>
    <x v="259"/>
    <x v="9"/>
    <x v="2"/>
    <x v="5"/>
    <x v="1"/>
    <x v="1"/>
    <x v="4"/>
    <n v="1"/>
    <x v="93"/>
    <n v="2394"/>
    <s v="Pending"/>
  </r>
  <r>
    <x v="260"/>
    <x v="45"/>
    <x v="3"/>
    <x v="0"/>
    <x v="3"/>
    <x v="5"/>
    <x v="4"/>
    <n v="3"/>
    <x v="210"/>
    <n v="2304"/>
    <s v="Partially Paid"/>
  </r>
  <r>
    <x v="261"/>
    <x v="15"/>
    <x v="1"/>
    <x v="4"/>
    <x v="1"/>
    <x v="155"/>
    <x v="4"/>
    <n v="4"/>
    <x v="211"/>
    <n v="4050"/>
    <s v="Partially Paid"/>
  </r>
  <r>
    <x v="262"/>
    <x v="27"/>
    <x v="0"/>
    <x v="5"/>
    <x v="0"/>
    <x v="31"/>
    <x v="2"/>
    <n v="2"/>
    <x v="212"/>
    <n v="912"/>
    <s v="Refunded"/>
  </r>
  <r>
    <x v="263"/>
    <x v="81"/>
    <x v="1"/>
    <x v="0"/>
    <x v="2"/>
    <x v="68"/>
    <x v="7"/>
    <n v="2"/>
    <x v="196"/>
    <n v="2380"/>
    <s v="Pending"/>
  </r>
  <r>
    <x v="264"/>
    <x v="27"/>
    <x v="4"/>
    <x v="5"/>
    <x v="0"/>
    <x v="156"/>
    <x v="9"/>
    <n v="4"/>
    <x v="121"/>
    <n v="340"/>
    <s v="Partially Paid"/>
  </r>
  <r>
    <x v="265"/>
    <x v="48"/>
    <x v="3"/>
    <x v="5"/>
    <x v="0"/>
    <x v="157"/>
    <x v="8"/>
    <n v="2"/>
    <x v="213"/>
    <n v="5180"/>
    <s v="Partially Paid"/>
  </r>
  <r>
    <x v="266"/>
    <x v="105"/>
    <x v="1"/>
    <x v="5"/>
    <x v="2"/>
    <x v="116"/>
    <x v="1"/>
    <n v="1"/>
    <x v="214"/>
    <n v="3848"/>
    <s v="Refunded"/>
  </r>
  <r>
    <x v="267"/>
    <x v="153"/>
    <x v="3"/>
    <x v="3"/>
    <x v="1"/>
    <x v="147"/>
    <x v="8"/>
    <n v="2"/>
    <x v="215"/>
    <n v="4960"/>
    <s v="Refunded"/>
  </r>
  <r>
    <x v="268"/>
    <x v="154"/>
    <x v="1"/>
    <x v="4"/>
    <x v="3"/>
    <x v="158"/>
    <x v="0"/>
    <n v="2"/>
    <x v="216"/>
    <n v="596"/>
    <s v="Refunded"/>
  </r>
  <r>
    <x v="269"/>
    <x v="56"/>
    <x v="2"/>
    <x v="4"/>
    <x v="2"/>
    <x v="149"/>
    <x v="1"/>
    <n v="4"/>
    <x v="7"/>
    <n v="3168"/>
    <s v="Partially Paid"/>
  </r>
  <r>
    <x v="270"/>
    <x v="73"/>
    <x v="4"/>
    <x v="3"/>
    <x v="1"/>
    <x v="159"/>
    <x v="7"/>
    <n v="3"/>
    <x v="77"/>
    <n v="615"/>
    <s v="Paid"/>
  </r>
  <r>
    <x v="271"/>
    <x v="155"/>
    <x v="3"/>
    <x v="2"/>
    <x v="1"/>
    <x v="122"/>
    <x v="7"/>
    <n v="3"/>
    <x v="168"/>
    <n v="1925"/>
    <s v="Paid"/>
  </r>
  <r>
    <x v="272"/>
    <x v="146"/>
    <x v="1"/>
    <x v="4"/>
    <x v="1"/>
    <x v="41"/>
    <x v="0"/>
    <n v="3"/>
    <x v="217"/>
    <n v="601"/>
    <s v="Partially Paid"/>
  </r>
  <r>
    <x v="273"/>
    <x v="156"/>
    <x v="1"/>
    <x v="0"/>
    <x v="1"/>
    <x v="35"/>
    <x v="3"/>
    <n v="4"/>
    <x v="218"/>
    <n v="4760"/>
    <s v="Pending"/>
  </r>
  <r>
    <x v="274"/>
    <x v="157"/>
    <x v="0"/>
    <x v="0"/>
    <x v="2"/>
    <x v="160"/>
    <x v="4"/>
    <n v="1"/>
    <x v="180"/>
    <n v="1488"/>
    <s v="Paid"/>
  </r>
  <r>
    <x v="275"/>
    <x v="158"/>
    <x v="4"/>
    <x v="0"/>
    <x v="3"/>
    <x v="161"/>
    <x v="8"/>
    <n v="2"/>
    <x v="219"/>
    <n v="1040"/>
    <s v="Refunded"/>
  </r>
  <r>
    <x v="276"/>
    <x v="143"/>
    <x v="3"/>
    <x v="4"/>
    <x v="0"/>
    <x v="6"/>
    <x v="7"/>
    <n v="4"/>
    <x v="220"/>
    <n v="1855"/>
    <s v="Paid"/>
  </r>
  <r>
    <x v="277"/>
    <x v="159"/>
    <x v="3"/>
    <x v="1"/>
    <x v="1"/>
    <x v="59"/>
    <x v="7"/>
    <n v="3"/>
    <x v="221"/>
    <n v="2235"/>
    <s v="Partially Paid"/>
  </r>
  <r>
    <x v="278"/>
    <x v="160"/>
    <x v="2"/>
    <x v="1"/>
    <x v="3"/>
    <x v="62"/>
    <x v="4"/>
    <n v="3"/>
    <x v="222"/>
    <n v="2382"/>
    <s v="Partially Paid"/>
  </r>
  <r>
    <x v="279"/>
    <x v="47"/>
    <x v="0"/>
    <x v="5"/>
    <x v="3"/>
    <x v="145"/>
    <x v="1"/>
    <n v="3"/>
    <x v="223"/>
    <n v="2144"/>
    <s v="Partially Paid"/>
  </r>
  <r>
    <x v="280"/>
    <x v="94"/>
    <x v="0"/>
    <x v="2"/>
    <x v="2"/>
    <x v="58"/>
    <x v="2"/>
    <n v="2"/>
    <x v="224"/>
    <n v="848"/>
    <s v="Partially Paid"/>
  </r>
  <r>
    <x v="281"/>
    <x v="9"/>
    <x v="0"/>
    <x v="0"/>
    <x v="2"/>
    <x v="61"/>
    <x v="2"/>
    <n v="1"/>
    <x v="155"/>
    <n v="1116"/>
    <s v="Refunded"/>
  </r>
  <r>
    <x v="282"/>
    <x v="30"/>
    <x v="4"/>
    <x v="5"/>
    <x v="3"/>
    <x v="162"/>
    <x v="5"/>
    <n v="1"/>
    <x v="225"/>
    <n v="471"/>
    <s v="Pending"/>
  </r>
  <r>
    <x v="283"/>
    <x v="143"/>
    <x v="4"/>
    <x v="1"/>
    <x v="3"/>
    <x v="95"/>
    <x v="6"/>
    <n v="1"/>
    <x v="149"/>
    <n v="1404"/>
    <s v="Paid"/>
  </r>
  <r>
    <x v="284"/>
    <x v="2"/>
    <x v="4"/>
    <x v="4"/>
    <x v="2"/>
    <x v="154"/>
    <x v="9"/>
    <n v="4"/>
    <x v="226"/>
    <n v="258"/>
    <s v="Refunded"/>
  </r>
  <r>
    <x v="285"/>
    <x v="67"/>
    <x v="3"/>
    <x v="5"/>
    <x v="0"/>
    <x v="113"/>
    <x v="0"/>
    <n v="2"/>
    <x v="144"/>
    <n v="477"/>
    <s v="Refunded"/>
  </r>
  <r>
    <x v="286"/>
    <x v="3"/>
    <x v="4"/>
    <x v="1"/>
    <x v="0"/>
    <x v="128"/>
    <x v="3"/>
    <n v="4"/>
    <x v="105"/>
    <n v="1183"/>
    <s v="Paid"/>
  </r>
  <r>
    <x v="287"/>
    <x v="129"/>
    <x v="3"/>
    <x v="1"/>
    <x v="2"/>
    <x v="163"/>
    <x v="7"/>
    <n v="2"/>
    <x v="227"/>
    <n v="1965"/>
    <s v="Refunded"/>
  </r>
  <r>
    <x v="288"/>
    <x v="9"/>
    <x v="2"/>
    <x v="4"/>
    <x v="1"/>
    <x v="114"/>
    <x v="0"/>
    <n v="2"/>
    <x v="74"/>
    <n v="310"/>
    <s v="Partially Paid"/>
  </r>
  <r>
    <x v="289"/>
    <x v="161"/>
    <x v="3"/>
    <x v="1"/>
    <x v="2"/>
    <x v="142"/>
    <x v="4"/>
    <n v="4"/>
    <x v="228"/>
    <n v="2502"/>
    <s v="Refunded"/>
  </r>
  <r>
    <x v="290"/>
    <x v="155"/>
    <x v="1"/>
    <x v="0"/>
    <x v="0"/>
    <x v="164"/>
    <x v="0"/>
    <n v="2"/>
    <x v="229"/>
    <n v="703"/>
    <s v="Refunded"/>
  </r>
  <r>
    <x v="291"/>
    <x v="82"/>
    <x v="3"/>
    <x v="1"/>
    <x v="1"/>
    <x v="165"/>
    <x v="7"/>
    <n v="4"/>
    <x v="230"/>
    <n v="2520"/>
    <s v="Paid"/>
  </r>
  <r>
    <x v="292"/>
    <x v="162"/>
    <x v="4"/>
    <x v="1"/>
    <x v="0"/>
    <x v="101"/>
    <x v="4"/>
    <n v="2"/>
    <x v="148"/>
    <n v="756"/>
    <s v="Pending"/>
  </r>
  <r>
    <x v="293"/>
    <x v="34"/>
    <x v="3"/>
    <x v="4"/>
    <x v="2"/>
    <x v="123"/>
    <x v="1"/>
    <n v="4"/>
    <x v="231"/>
    <n v="3016"/>
    <s v="Partially Paid"/>
  </r>
  <r>
    <x v="294"/>
    <x v="162"/>
    <x v="0"/>
    <x v="2"/>
    <x v="0"/>
    <x v="166"/>
    <x v="1"/>
    <n v="2"/>
    <x v="232"/>
    <n v="1760"/>
    <s v="Partially Paid"/>
  </r>
  <r>
    <x v="295"/>
    <x v="93"/>
    <x v="1"/>
    <x v="3"/>
    <x v="1"/>
    <x v="62"/>
    <x v="4"/>
    <n v="3"/>
    <x v="132"/>
    <n v="3870"/>
    <s v="Refunded"/>
  </r>
  <r>
    <x v="296"/>
    <x v="163"/>
    <x v="2"/>
    <x v="2"/>
    <x v="3"/>
    <x v="149"/>
    <x v="7"/>
    <n v="3"/>
    <x v="36"/>
    <n v="1375"/>
    <s v="Refunded"/>
  </r>
  <r>
    <x v="297"/>
    <x v="39"/>
    <x v="4"/>
    <x v="5"/>
    <x v="0"/>
    <x v="73"/>
    <x v="6"/>
    <n v="4"/>
    <x v="233"/>
    <n v="1053"/>
    <s v="Paid"/>
  </r>
  <r>
    <x v="298"/>
    <x v="164"/>
    <x v="0"/>
    <x v="0"/>
    <x v="2"/>
    <x v="17"/>
    <x v="6"/>
    <n v="2"/>
    <x v="101"/>
    <n v="1710"/>
    <s v="Paid"/>
  </r>
  <r>
    <x v="299"/>
    <x v="165"/>
    <x v="0"/>
    <x v="5"/>
    <x v="2"/>
    <x v="11"/>
    <x v="1"/>
    <n v="1"/>
    <x v="38"/>
    <n v="2192"/>
    <s v="Pending"/>
  </r>
  <r>
    <x v="300"/>
    <x v="166"/>
    <x v="0"/>
    <x v="1"/>
    <x v="1"/>
    <x v="13"/>
    <x v="2"/>
    <n v="4"/>
    <x v="232"/>
    <n v="880"/>
    <s v="Pending"/>
  </r>
  <r>
    <x v="301"/>
    <x v="51"/>
    <x v="3"/>
    <x v="2"/>
    <x v="0"/>
    <x v="61"/>
    <x v="3"/>
    <n v="2"/>
    <x v="234"/>
    <n v="3290"/>
    <s v="Pending"/>
  </r>
  <r>
    <x v="302"/>
    <x v="64"/>
    <x v="3"/>
    <x v="4"/>
    <x v="3"/>
    <x v="122"/>
    <x v="5"/>
    <n v="2"/>
    <x v="55"/>
    <n v="1506"/>
    <s v="Refunded"/>
  </r>
  <r>
    <x v="303"/>
    <x v="167"/>
    <x v="1"/>
    <x v="2"/>
    <x v="2"/>
    <x v="167"/>
    <x v="2"/>
    <n v="3"/>
    <x v="235"/>
    <n v="2656"/>
    <s v="Paid"/>
  </r>
  <r>
    <x v="304"/>
    <x v="168"/>
    <x v="3"/>
    <x v="2"/>
    <x v="3"/>
    <x v="2"/>
    <x v="9"/>
    <n v="3"/>
    <x v="236"/>
    <n v="1024"/>
    <s v="Pending"/>
  </r>
  <r>
    <x v="305"/>
    <x v="169"/>
    <x v="3"/>
    <x v="4"/>
    <x v="2"/>
    <x v="168"/>
    <x v="5"/>
    <n v="4"/>
    <x v="106"/>
    <n v="1557"/>
    <s v="Paid"/>
  </r>
  <r>
    <x v="306"/>
    <x v="158"/>
    <x v="0"/>
    <x v="2"/>
    <x v="1"/>
    <x v="137"/>
    <x v="2"/>
    <n v="3"/>
    <x v="237"/>
    <n v="932"/>
    <s v="Paid"/>
  </r>
  <r>
    <x v="307"/>
    <x v="170"/>
    <x v="3"/>
    <x v="1"/>
    <x v="0"/>
    <x v="106"/>
    <x v="6"/>
    <n v="3"/>
    <x v="238"/>
    <n v="4698"/>
    <s v="Partially Paid"/>
  </r>
  <r>
    <x v="308"/>
    <x v="157"/>
    <x v="2"/>
    <x v="1"/>
    <x v="3"/>
    <x v="169"/>
    <x v="4"/>
    <n v="2"/>
    <x v="183"/>
    <n v="1632"/>
    <s v="Partially Paid"/>
  </r>
  <r>
    <x v="309"/>
    <x v="86"/>
    <x v="3"/>
    <x v="3"/>
    <x v="0"/>
    <x v="170"/>
    <x v="6"/>
    <n v="3"/>
    <x v="227"/>
    <n v="3537"/>
    <s v="Pending"/>
  </r>
  <r>
    <x v="310"/>
    <x v="159"/>
    <x v="0"/>
    <x v="3"/>
    <x v="0"/>
    <x v="171"/>
    <x v="9"/>
    <n v="2"/>
    <x v="239"/>
    <n v="532"/>
    <s v="Refunded"/>
  </r>
  <r>
    <x v="311"/>
    <x v="4"/>
    <x v="0"/>
    <x v="3"/>
    <x v="2"/>
    <x v="86"/>
    <x v="4"/>
    <n v="3"/>
    <x v="240"/>
    <n v="1614"/>
    <s v="Refunded"/>
  </r>
  <r>
    <x v="312"/>
    <x v="171"/>
    <x v="0"/>
    <x v="5"/>
    <x v="0"/>
    <x v="172"/>
    <x v="4"/>
    <n v="3"/>
    <x v="241"/>
    <n v="1380"/>
    <s v="Paid"/>
  </r>
  <r>
    <x v="313"/>
    <x v="47"/>
    <x v="3"/>
    <x v="4"/>
    <x v="3"/>
    <x v="2"/>
    <x v="1"/>
    <n v="3"/>
    <x v="242"/>
    <n v="3040"/>
    <s v="Refunded"/>
  </r>
  <r>
    <x v="314"/>
    <x v="30"/>
    <x v="2"/>
    <x v="0"/>
    <x v="0"/>
    <x v="6"/>
    <x v="7"/>
    <n v="2"/>
    <x v="240"/>
    <n v="1345"/>
    <s v="Partially Paid"/>
  </r>
  <r>
    <x v="315"/>
    <x v="53"/>
    <x v="1"/>
    <x v="4"/>
    <x v="2"/>
    <x v="154"/>
    <x v="2"/>
    <n v="1"/>
    <x v="243"/>
    <n v="2308"/>
    <s v="Paid"/>
  </r>
  <r>
    <x v="316"/>
    <x v="172"/>
    <x v="4"/>
    <x v="2"/>
    <x v="3"/>
    <x v="48"/>
    <x v="6"/>
    <n v="4"/>
    <x v="244"/>
    <n v="1485"/>
    <s v="Partially Paid"/>
  </r>
  <r>
    <x v="317"/>
    <x v="136"/>
    <x v="3"/>
    <x v="1"/>
    <x v="3"/>
    <x v="136"/>
    <x v="3"/>
    <n v="2"/>
    <x v="245"/>
    <n v="3808"/>
    <s v="Refunded"/>
  </r>
  <r>
    <x v="318"/>
    <x v="51"/>
    <x v="2"/>
    <x v="4"/>
    <x v="0"/>
    <x v="173"/>
    <x v="8"/>
    <n v="2"/>
    <x v="246"/>
    <n v="3790"/>
    <s v="Refunded"/>
  </r>
  <r>
    <x v="319"/>
    <x v="173"/>
    <x v="2"/>
    <x v="4"/>
    <x v="0"/>
    <x v="6"/>
    <x v="9"/>
    <n v="2"/>
    <x v="30"/>
    <n v="728"/>
    <s v="Refunded"/>
  </r>
  <r>
    <x v="320"/>
    <x v="146"/>
    <x v="3"/>
    <x v="4"/>
    <x v="2"/>
    <x v="11"/>
    <x v="2"/>
    <n v="1"/>
    <x v="247"/>
    <n v="1648"/>
    <s v="Paid"/>
  </r>
  <r>
    <x v="321"/>
    <x v="174"/>
    <x v="0"/>
    <x v="2"/>
    <x v="0"/>
    <x v="136"/>
    <x v="8"/>
    <n v="2"/>
    <x v="248"/>
    <n v="2000"/>
    <s v="Pending"/>
  </r>
  <r>
    <x v="322"/>
    <x v="16"/>
    <x v="1"/>
    <x v="4"/>
    <x v="0"/>
    <x v="76"/>
    <x v="5"/>
    <n v="3"/>
    <x v="130"/>
    <n v="2094"/>
    <s v="Partially Paid"/>
  </r>
  <r>
    <x v="323"/>
    <x v="126"/>
    <x v="1"/>
    <x v="3"/>
    <x v="3"/>
    <x v="174"/>
    <x v="0"/>
    <n v="4"/>
    <x v="249"/>
    <n v="524"/>
    <s v="Pending"/>
  </r>
  <r>
    <x v="324"/>
    <x v="175"/>
    <x v="1"/>
    <x v="5"/>
    <x v="2"/>
    <x v="138"/>
    <x v="3"/>
    <n v="4"/>
    <x v="250"/>
    <n v="5173"/>
    <s v="Paid"/>
  </r>
  <r>
    <x v="325"/>
    <x v="98"/>
    <x v="1"/>
    <x v="2"/>
    <x v="2"/>
    <x v="67"/>
    <x v="5"/>
    <n v="1"/>
    <x v="251"/>
    <n v="2088"/>
    <s v="Paid"/>
  </r>
  <r>
    <x v="326"/>
    <x v="6"/>
    <x v="2"/>
    <x v="3"/>
    <x v="1"/>
    <x v="172"/>
    <x v="3"/>
    <n v="3"/>
    <x v="30"/>
    <n v="2548"/>
    <s v="Paid"/>
  </r>
  <r>
    <x v="327"/>
    <x v="176"/>
    <x v="1"/>
    <x v="2"/>
    <x v="0"/>
    <x v="127"/>
    <x v="3"/>
    <n v="1"/>
    <x v="252"/>
    <n v="4396"/>
    <s v="Partially Paid"/>
  </r>
  <r>
    <x v="328"/>
    <x v="177"/>
    <x v="4"/>
    <x v="5"/>
    <x v="0"/>
    <x v="52"/>
    <x v="6"/>
    <n v="4"/>
    <x v="65"/>
    <n v="1017"/>
    <s v="Paid"/>
  </r>
  <r>
    <x v="329"/>
    <x v="93"/>
    <x v="0"/>
    <x v="1"/>
    <x v="3"/>
    <x v="10"/>
    <x v="9"/>
    <n v="1"/>
    <x v="38"/>
    <n v="548"/>
    <s v="Pending"/>
  </r>
  <r>
    <x v="330"/>
    <x v="70"/>
    <x v="1"/>
    <x v="4"/>
    <x v="2"/>
    <x v="20"/>
    <x v="1"/>
    <n v="2"/>
    <x v="253"/>
    <n v="4688"/>
    <s v="Paid"/>
  </r>
  <r>
    <x v="331"/>
    <x v="141"/>
    <x v="4"/>
    <x v="3"/>
    <x v="2"/>
    <x v="175"/>
    <x v="3"/>
    <n v="2"/>
    <x v="65"/>
    <n v="791"/>
    <s v="Refunded"/>
  </r>
  <r>
    <x v="332"/>
    <x v="40"/>
    <x v="1"/>
    <x v="4"/>
    <x v="3"/>
    <x v="157"/>
    <x v="0"/>
    <n v="1"/>
    <x v="254"/>
    <n v="466"/>
    <s v="Paid"/>
  </r>
  <r>
    <x v="333"/>
    <x v="99"/>
    <x v="4"/>
    <x v="5"/>
    <x v="1"/>
    <x v="40"/>
    <x v="1"/>
    <n v="2"/>
    <x v="255"/>
    <n v="960"/>
    <s v="Paid"/>
  </r>
  <r>
    <x v="334"/>
    <x v="124"/>
    <x v="2"/>
    <x v="3"/>
    <x v="2"/>
    <x v="130"/>
    <x v="1"/>
    <n v="4"/>
    <x v="155"/>
    <n v="2232"/>
    <s v="Refunded"/>
  </r>
  <r>
    <x v="335"/>
    <x v="129"/>
    <x v="2"/>
    <x v="1"/>
    <x v="3"/>
    <x v="169"/>
    <x v="3"/>
    <n v="2"/>
    <x v="256"/>
    <n v="1981"/>
    <s v="Partially Paid"/>
  </r>
  <r>
    <x v="336"/>
    <x v="178"/>
    <x v="3"/>
    <x v="2"/>
    <x v="2"/>
    <x v="141"/>
    <x v="1"/>
    <n v="2"/>
    <x v="257"/>
    <n v="2976"/>
    <s v="Paid"/>
  </r>
  <r>
    <x v="337"/>
    <x v="52"/>
    <x v="2"/>
    <x v="1"/>
    <x v="1"/>
    <x v="176"/>
    <x v="0"/>
    <n v="2"/>
    <x v="258"/>
    <n v="368"/>
    <s v="Partially Paid"/>
  </r>
  <r>
    <x v="338"/>
    <x v="179"/>
    <x v="1"/>
    <x v="1"/>
    <x v="3"/>
    <x v="177"/>
    <x v="5"/>
    <n v="1"/>
    <x v="113"/>
    <n v="2136"/>
    <s v="Partially Paid"/>
  </r>
  <r>
    <x v="339"/>
    <x v="64"/>
    <x v="1"/>
    <x v="5"/>
    <x v="3"/>
    <x v="171"/>
    <x v="7"/>
    <n v="1"/>
    <x v="259"/>
    <n v="2960"/>
    <s v="Pending"/>
  </r>
  <r>
    <x v="340"/>
    <x v="37"/>
    <x v="2"/>
    <x v="3"/>
    <x v="2"/>
    <x v="178"/>
    <x v="5"/>
    <n v="4"/>
    <x v="260"/>
    <n v="1083"/>
    <s v="Paid"/>
  </r>
  <r>
    <x v="341"/>
    <x v="170"/>
    <x v="1"/>
    <x v="5"/>
    <x v="2"/>
    <x v="179"/>
    <x v="7"/>
    <n v="4"/>
    <x v="261"/>
    <n v="3130"/>
    <s v="Partially Paid"/>
  </r>
  <r>
    <x v="342"/>
    <x v="151"/>
    <x v="3"/>
    <x v="1"/>
    <x v="0"/>
    <x v="11"/>
    <x v="7"/>
    <n v="1"/>
    <x v="262"/>
    <n v="2355"/>
    <s v="Pending"/>
  </r>
  <r>
    <x v="343"/>
    <x v="76"/>
    <x v="3"/>
    <x v="4"/>
    <x v="1"/>
    <x v="74"/>
    <x v="8"/>
    <n v="4"/>
    <x v="263"/>
    <n v="4340"/>
    <s v="Partially Paid"/>
  </r>
  <r>
    <x v="344"/>
    <x v="8"/>
    <x v="4"/>
    <x v="0"/>
    <x v="0"/>
    <x v="15"/>
    <x v="3"/>
    <n v="1"/>
    <x v="264"/>
    <n v="1001"/>
    <s v="Refunded"/>
  </r>
  <r>
    <x v="345"/>
    <x v="100"/>
    <x v="1"/>
    <x v="3"/>
    <x v="0"/>
    <x v="180"/>
    <x v="7"/>
    <n v="3"/>
    <x v="265"/>
    <n v="3245"/>
    <s v="Paid"/>
  </r>
  <r>
    <x v="346"/>
    <x v="160"/>
    <x v="4"/>
    <x v="1"/>
    <x v="2"/>
    <x v="85"/>
    <x v="4"/>
    <n v="1"/>
    <x v="266"/>
    <n v="612"/>
    <s v="Paid"/>
  </r>
  <r>
    <x v="347"/>
    <x v="180"/>
    <x v="1"/>
    <x v="1"/>
    <x v="0"/>
    <x v="107"/>
    <x v="6"/>
    <n v="1"/>
    <x v="267"/>
    <n v="4959"/>
    <s v="Partially Paid"/>
  </r>
  <r>
    <x v="348"/>
    <x v="58"/>
    <x v="0"/>
    <x v="5"/>
    <x v="3"/>
    <x v="121"/>
    <x v="9"/>
    <n v="1"/>
    <x v="172"/>
    <n v="408"/>
    <s v="Refunded"/>
  </r>
  <r>
    <x v="349"/>
    <x v="132"/>
    <x v="0"/>
    <x v="3"/>
    <x v="3"/>
    <x v="130"/>
    <x v="9"/>
    <n v="2"/>
    <x v="268"/>
    <n v="462"/>
    <s v="Partially Paid"/>
  </r>
  <r>
    <x v="350"/>
    <x v="181"/>
    <x v="1"/>
    <x v="5"/>
    <x v="1"/>
    <x v="136"/>
    <x v="4"/>
    <n v="1"/>
    <x v="249"/>
    <n v="3144"/>
    <s v="Pending"/>
  </r>
  <r>
    <x v="351"/>
    <x v="55"/>
    <x v="2"/>
    <x v="5"/>
    <x v="3"/>
    <x v="140"/>
    <x v="9"/>
    <n v="3"/>
    <x v="269"/>
    <n v="704"/>
    <s v="Refunded"/>
  </r>
  <r>
    <x v="352"/>
    <x v="169"/>
    <x v="0"/>
    <x v="2"/>
    <x v="0"/>
    <x v="78"/>
    <x v="6"/>
    <n v="4"/>
    <x v="270"/>
    <n v="2115"/>
    <s v="Refunded"/>
  </r>
  <r>
    <x v="353"/>
    <x v="130"/>
    <x v="0"/>
    <x v="0"/>
    <x v="3"/>
    <x v="42"/>
    <x v="2"/>
    <n v="2"/>
    <x v="160"/>
    <n v="792"/>
    <s v="Partially Paid"/>
  </r>
  <r>
    <x v="354"/>
    <x v="98"/>
    <x v="3"/>
    <x v="4"/>
    <x v="2"/>
    <x v="181"/>
    <x v="8"/>
    <n v="4"/>
    <x v="231"/>
    <n v="3770"/>
    <s v="Pending"/>
  </r>
  <r>
    <x v="355"/>
    <x v="95"/>
    <x v="0"/>
    <x v="1"/>
    <x v="1"/>
    <x v="88"/>
    <x v="3"/>
    <n v="1"/>
    <x v="223"/>
    <n v="1876"/>
    <s v="Refunded"/>
  </r>
  <r>
    <x v="356"/>
    <x v="85"/>
    <x v="4"/>
    <x v="3"/>
    <x v="1"/>
    <x v="44"/>
    <x v="4"/>
    <n v="1"/>
    <x v="255"/>
    <n v="720"/>
    <s v="Pending"/>
  </r>
  <r>
    <x v="357"/>
    <x v="118"/>
    <x v="3"/>
    <x v="3"/>
    <x v="3"/>
    <x v="137"/>
    <x v="4"/>
    <n v="2"/>
    <x v="141"/>
    <n v="2736"/>
    <s v="Partially Paid"/>
  </r>
  <r>
    <x v="358"/>
    <x v="182"/>
    <x v="4"/>
    <x v="5"/>
    <x v="2"/>
    <x v="56"/>
    <x v="0"/>
    <n v="2"/>
    <x v="14"/>
    <n v="106"/>
    <s v="Pending"/>
  </r>
  <r>
    <x v="359"/>
    <x v="19"/>
    <x v="3"/>
    <x v="4"/>
    <x v="1"/>
    <x v="182"/>
    <x v="4"/>
    <n v="1"/>
    <x v="271"/>
    <n v="3258"/>
    <s v="Paid"/>
  </r>
  <r>
    <x v="360"/>
    <x v="87"/>
    <x v="1"/>
    <x v="3"/>
    <x v="0"/>
    <x v="14"/>
    <x v="8"/>
    <n v="1"/>
    <x v="100"/>
    <n v="5340"/>
    <s v="Paid"/>
  </r>
  <r>
    <x v="361"/>
    <x v="64"/>
    <x v="0"/>
    <x v="5"/>
    <x v="2"/>
    <x v="30"/>
    <x v="6"/>
    <n v="4"/>
    <x v="272"/>
    <n v="1953"/>
    <s v="Partially Paid"/>
  </r>
  <r>
    <x v="362"/>
    <x v="163"/>
    <x v="0"/>
    <x v="4"/>
    <x v="1"/>
    <x v="1"/>
    <x v="3"/>
    <n v="1"/>
    <x v="273"/>
    <n v="1666"/>
    <s v="Partially Paid"/>
  </r>
  <r>
    <x v="363"/>
    <x v="139"/>
    <x v="4"/>
    <x v="0"/>
    <x v="1"/>
    <x v="85"/>
    <x v="8"/>
    <n v="4"/>
    <x v="173"/>
    <n v="1590"/>
    <s v="Paid"/>
  </r>
  <r>
    <x v="364"/>
    <x v="89"/>
    <x v="1"/>
    <x v="1"/>
    <x v="1"/>
    <x v="92"/>
    <x v="8"/>
    <n v="2"/>
    <x v="274"/>
    <n v="6480"/>
    <s v="Pending"/>
  </r>
  <r>
    <x v="365"/>
    <x v="66"/>
    <x v="1"/>
    <x v="4"/>
    <x v="0"/>
    <x v="165"/>
    <x v="9"/>
    <n v="3"/>
    <x v="275"/>
    <n v="1238"/>
    <s v="Paid"/>
  </r>
  <r>
    <x v="366"/>
    <x v="183"/>
    <x v="1"/>
    <x v="3"/>
    <x v="2"/>
    <x v="114"/>
    <x v="4"/>
    <n v="1"/>
    <x v="142"/>
    <n v="4020"/>
    <s v="Refunded"/>
  </r>
  <r>
    <x v="367"/>
    <x v="128"/>
    <x v="0"/>
    <x v="2"/>
    <x v="0"/>
    <x v="183"/>
    <x v="5"/>
    <n v="3"/>
    <x v="223"/>
    <n v="804"/>
    <s v="Partially Paid"/>
  </r>
  <r>
    <x v="368"/>
    <x v="166"/>
    <x v="3"/>
    <x v="5"/>
    <x v="3"/>
    <x v="178"/>
    <x v="5"/>
    <n v="3"/>
    <x v="276"/>
    <n v="1425"/>
    <s v="Refunded"/>
  </r>
  <r>
    <x v="369"/>
    <x v="36"/>
    <x v="3"/>
    <x v="0"/>
    <x v="0"/>
    <x v="37"/>
    <x v="6"/>
    <n v="2"/>
    <x v="277"/>
    <n v="3213"/>
    <s v="Partially Paid"/>
  </r>
  <r>
    <x v="370"/>
    <x v="184"/>
    <x v="4"/>
    <x v="5"/>
    <x v="2"/>
    <x v="141"/>
    <x v="9"/>
    <n v="4"/>
    <x v="278"/>
    <n v="350"/>
    <s v="Refunded"/>
  </r>
  <r>
    <x v="371"/>
    <x v="176"/>
    <x v="3"/>
    <x v="3"/>
    <x v="3"/>
    <x v="98"/>
    <x v="7"/>
    <n v="2"/>
    <x v="55"/>
    <n v="2510"/>
    <s v="Paid"/>
  </r>
  <r>
    <x v="372"/>
    <x v="101"/>
    <x v="1"/>
    <x v="0"/>
    <x v="2"/>
    <x v="61"/>
    <x v="6"/>
    <n v="3"/>
    <x v="279"/>
    <n v="4068"/>
    <s v="Refunded"/>
  </r>
  <r>
    <x v="373"/>
    <x v="154"/>
    <x v="3"/>
    <x v="2"/>
    <x v="1"/>
    <x v="152"/>
    <x v="3"/>
    <n v="2"/>
    <x v="280"/>
    <n v="3136"/>
    <s v="Refunded"/>
  </r>
  <r>
    <x v="374"/>
    <x v="144"/>
    <x v="0"/>
    <x v="1"/>
    <x v="2"/>
    <x v="175"/>
    <x v="5"/>
    <n v="1"/>
    <x v="281"/>
    <n v="555"/>
    <s v="Partially Paid"/>
  </r>
  <r>
    <x v="375"/>
    <x v="97"/>
    <x v="4"/>
    <x v="1"/>
    <x v="1"/>
    <x v="184"/>
    <x v="1"/>
    <n v="2"/>
    <x v="282"/>
    <n v="1104"/>
    <s v="Refunded"/>
  </r>
  <r>
    <x v="376"/>
    <x v="23"/>
    <x v="4"/>
    <x v="5"/>
    <x v="3"/>
    <x v="21"/>
    <x v="0"/>
    <n v="2"/>
    <x v="56"/>
    <n v="109"/>
    <s v="Refunded"/>
  </r>
  <r>
    <x v="377"/>
    <x v="185"/>
    <x v="3"/>
    <x v="4"/>
    <x v="1"/>
    <x v="86"/>
    <x v="0"/>
    <n v="2"/>
    <x v="283"/>
    <n v="507"/>
    <s v="Refunded"/>
  </r>
  <r>
    <x v="378"/>
    <x v="34"/>
    <x v="3"/>
    <x v="3"/>
    <x v="2"/>
    <x v="157"/>
    <x v="9"/>
    <n v="3"/>
    <x v="284"/>
    <n v="1000"/>
    <s v="Pending"/>
  </r>
  <r>
    <x v="379"/>
    <x v="78"/>
    <x v="3"/>
    <x v="4"/>
    <x v="2"/>
    <x v="185"/>
    <x v="4"/>
    <n v="3"/>
    <x v="285"/>
    <n v="2334"/>
    <s v="Refunded"/>
  </r>
  <r>
    <x v="380"/>
    <x v="143"/>
    <x v="1"/>
    <x v="4"/>
    <x v="3"/>
    <x v="186"/>
    <x v="8"/>
    <n v="1"/>
    <x v="286"/>
    <n v="7360"/>
    <s v="Paid"/>
  </r>
  <r>
    <x v="381"/>
    <x v="129"/>
    <x v="0"/>
    <x v="3"/>
    <x v="3"/>
    <x v="6"/>
    <x v="6"/>
    <n v="3"/>
    <x v="27"/>
    <n v="1899"/>
    <s v="Partially Paid"/>
  </r>
  <r>
    <x v="382"/>
    <x v="47"/>
    <x v="1"/>
    <x v="0"/>
    <x v="0"/>
    <x v="151"/>
    <x v="1"/>
    <n v="2"/>
    <x v="287"/>
    <n v="5960"/>
    <s v="Partially Paid"/>
  </r>
  <r>
    <x v="383"/>
    <x v="100"/>
    <x v="1"/>
    <x v="3"/>
    <x v="0"/>
    <x v="187"/>
    <x v="2"/>
    <n v="4"/>
    <x v="128"/>
    <n v="1856"/>
    <s v="Pending"/>
  </r>
  <r>
    <x v="384"/>
    <x v="186"/>
    <x v="2"/>
    <x v="2"/>
    <x v="1"/>
    <x v="176"/>
    <x v="7"/>
    <n v="1"/>
    <x v="39"/>
    <n v="1450"/>
    <s v="Pending"/>
  </r>
  <r>
    <x v="385"/>
    <x v="129"/>
    <x v="3"/>
    <x v="2"/>
    <x v="1"/>
    <x v="184"/>
    <x v="6"/>
    <n v="4"/>
    <x v="263"/>
    <n v="3906"/>
    <s v="Pending"/>
  </r>
  <r>
    <x v="386"/>
    <x v="121"/>
    <x v="1"/>
    <x v="5"/>
    <x v="1"/>
    <x v="188"/>
    <x v="1"/>
    <n v="2"/>
    <x v="25"/>
    <n v="5936"/>
    <s v="Partially Paid"/>
  </r>
  <r>
    <x v="387"/>
    <x v="14"/>
    <x v="3"/>
    <x v="4"/>
    <x v="3"/>
    <x v="38"/>
    <x v="1"/>
    <n v="1"/>
    <x v="288"/>
    <n v="3128"/>
    <s v="Refunded"/>
  </r>
  <r>
    <x v="388"/>
    <x v="121"/>
    <x v="2"/>
    <x v="5"/>
    <x v="2"/>
    <x v="30"/>
    <x v="7"/>
    <n v="2"/>
    <x v="93"/>
    <n v="1995"/>
    <s v="Partially Paid"/>
  </r>
  <r>
    <x v="389"/>
    <x v="145"/>
    <x v="2"/>
    <x v="2"/>
    <x v="0"/>
    <x v="32"/>
    <x v="9"/>
    <n v="3"/>
    <x v="183"/>
    <n v="544"/>
    <s v="Refunded"/>
  </r>
  <r>
    <x v="390"/>
    <x v="25"/>
    <x v="3"/>
    <x v="5"/>
    <x v="0"/>
    <x v="17"/>
    <x v="6"/>
    <n v="4"/>
    <x v="206"/>
    <n v="3384"/>
    <s v="Partially Paid"/>
  </r>
  <r>
    <x v="391"/>
    <x v="156"/>
    <x v="4"/>
    <x v="2"/>
    <x v="1"/>
    <x v="135"/>
    <x v="7"/>
    <n v="2"/>
    <x v="40"/>
    <n v="620"/>
    <s v="Partially Paid"/>
  </r>
  <r>
    <x v="392"/>
    <x v="52"/>
    <x v="0"/>
    <x v="4"/>
    <x v="1"/>
    <x v="112"/>
    <x v="3"/>
    <n v="2"/>
    <x v="273"/>
    <n v="1666"/>
    <s v="Paid"/>
  </r>
  <r>
    <x v="393"/>
    <x v="127"/>
    <x v="4"/>
    <x v="2"/>
    <x v="1"/>
    <x v="59"/>
    <x v="5"/>
    <n v="3"/>
    <x v="67"/>
    <n v="345"/>
    <s v="Partially Paid"/>
  </r>
  <r>
    <x v="394"/>
    <x v="187"/>
    <x v="3"/>
    <x v="5"/>
    <x v="0"/>
    <x v="10"/>
    <x v="8"/>
    <n v="3"/>
    <x v="289"/>
    <n v="4370"/>
    <s v="Refunded"/>
  </r>
  <r>
    <x v="395"/>
    <x v="156"/>
    <x v="3"/>
    <x v="3"/>
    <x v="3"/>
    <x v="129"/>
    <x v="7"/>
    <n v="2"/>
    <x v="63"/>
    <n v="2525"/>
    <s v="Refunded"/>
  </r>
  <r>
    <x v="396"/>
    <x v="13"/>
    <x v="3"/>
    <x v="2"/>
    <x v="1"/>
    <x v="151"/>
    <x v="3"/>
    <n v="3"/>
    <x v="290"/>
    <n v="2765"/>
    <s v="Refunded"/>
  </r>
  <r>
    <x v="397"/>
    <x v="22"/>
    <x v="3"/>
    <x v="1"/>
    <x v="1"/>
    <x v="107"/>
    <x v="4"/>
    <n v="4"/>
    <x v="136"/>
    <n v="2748"/>
    <s v="Pending"/>
  </r>
  <r>
    <x v="398"/>
    <x v="92"/>
    <x v="2"/>
    <x v="5"/>
    <x v="2"/>
    <x v="133"/>
    <x v="7"/>
    <n v="2"/>
    <x v="291"/>
    <n v="1520"/>
    <s v="Partially Paid"/>
  </r>
  <r>
    <x v="399"/>
    <x v="31"/>
    <x v="1"/>
    <x v="1"/>
    <x v="2"/>
    <x v="189"/>
    <x v="4"/>
    <n v="3"/>
    <x v="292"/>
    <n v="2892"/>
    <s v="Partially Paid"/>
  </r>
  <r>
    <x v="400"/>
    <x v="163"/>
    <x v="3"/>
    <x v="1"/>
    <x v="1"/>
    <x v="190"/>
    <x v="5"/>
    <n v="4"/>
    <x v="24"/>
    <n v="1305"/>
    <s v="Partially Paid"/>
  </r>
  <r>
    <x v="401"/>
    <x v="178"/>
    <x v="2"/>
    <x v="0"/>
    <x v="3"/>
    <x v="165"/>
    <x v="7"/>
    <n v="3"/>
    <x v="293"/>
    <n v="1440"/>
    <s v="Partially Paid"/>
  </r>
  <r>
    <x v="402"/>
    <x v="100"/>
    <x v="1"/>
    <x v="0"/>
    <x v="0"/>
    <x v="36"/>
    <x v="4"/>
    <n v="2"/>
    <x v="294"/>
    <n v="3648"/>
    <s v="Refunded"/>
  </r>
  <r>
    <x v="403"/>
    <x v="188"/>
    <x v="4"/>
    <x v="4"/>
    <x v="0"/>
    <x v="48"/>
    <x v="0"/>
    <n v="2"/>
    <x v="191"/>
    <n v="171"/>
    <s v="Refunded"/>
  </r>
  <r>
    <x v="404"/>
    <x v="70"/>
    <x v="4"/>
    <x v="2"/>
    <x v="1"/>
    <x v="67"/>
    <x v="7"/>
    <n v="4"/>
    <x v="266"/>
    <n v="510"/>
    <s v="Paid"/>
  </r>
  <r>
    <x v="405"/>
    <x v="73"/>
    <x v="0"/>
    <x v="0"/>
    <x v="3"/>
    <x v="110"/>
    <x v="4"/>
    <n v="2"/>
    <x v="295"/>
    <n v="1182"/>
    <s v="Refunded"/>
  </r>
  <r>
    <x v="406"/>
    <x v="29"/>
    <x v="4"/>
    <x v="5"/>
    <x v="0"/>
    <x v="183"/>
    <x v="0"/>
    <n v="4"/>
    <x v="244"/>
    <n v="165"/>
    <s v="Partially Paid"/>
  </r>
  <r>
    <x v="407"/>
    <x v="189"/>
    <x v="1"/>
    <x v="1"/>
    <x v="0"/>
    <x v="133"/>
    <x v="8"/>
    <n v="2"/>
    <x v="296"/>
    <n v="6180"/>
    <s v="Refunded"/>
  </r>
  <r>
    <x v="408"/>
    <x v="26"/>
    <x v="1"/>
    <x v="0"/>
    <x v="2"/>
    <x v="191"/>
    <x v="4"/>
    <n v="3"/>
    <x v="297"/>
    <n v="4422"/>
    <s v="Pending"/>
  </r>
  <r>
    <x v="409"/>
    <x v="27"/>
    <x v="4"/>
    <x v="0"/>
    <x v="2"/>
    <x v="53"/>
    <x v="9"/>
    <n v="1"/>
    <x v="175"/>
    <n v="236"/>
    <s v="Paid"/>
  </r>
  <r>
    <x v="410"/>
    <x v="69"/>
    <x v="4"/>
    <x v="2"/>
    <x v="1"/>
    <x v="54"/>
    <x v="8"/>
    <n v="3"/>
    <x v="298"/>
    <n v="1030"/>
    <s v="Refunded"/>
  </r>
  <r>
    <x v="411"/>
    <x v="188"/>
    <x v="2"/>
    <x v="1"/>
    <x v="0"/>
    <x v="25"/>
    <x v="5"/>
    <n v="2"/>
    <x v="299"/>
    <n v="1170"/>
    <s v="Paid"/>
  </r>
  <r>
    <x v="412"/>
    <x v="60"/>
    <x v="2"/>
    <x v="4"/>
    <x v="3"/>
    <x v="82"/>
    <x v="1"/>
    <n v="2"/>
    <x v="195"/>
    <n v="2832"/>
    <s v="Partially Paid"/>
  </r>
  <r>
    <x v="413"/>
    <x v="190"/>
    <x v="2"/>
    <x v="2"/>
    <x v="3"/>
    <x v="146"/>
    <x v="0"/>
    <n v="2"/>
    <x v="300"/>
    <n v="326"/>
    <s v="Paid"/>
  </r>
  <r>
    <x v="414"/>
    <x v="125"/>
    <x v="2"/>
    <x v="3"/>
    <x v="2"/>
    <x v="47"/>
    <x v="0"/>
    <n v="1"/>
    <x v="301"/>
    <n v="308"/>
    <s v="Paid"/>
  </r>
  <r>
    <x v="415"/>
    <x v="90"/>
    <x v="4"/>
    <x v="0"/>
    <x v="0"/>
    <x v="86"/>
    <x v="3"/>
    <n v="4"/>
    <x v="175"/>
    <n v="826"/>
    <s v="Paid"/>
  </r>
  <r>
    <x v="416"/>
    <x v="150"/>
    <x v="1"/>
    <x v="2"/>
    <x v="2"/>
    <x v="164"/>
    <x v="8"/>
    <n v="4"/>
    <x v="302"/>
    <n v="6590"/>
    <s v="Refunded"/>
  </r>
  <r>
    <x v="417"/>
    <x v="133"/>
    <x v="0"/>
    <x v="2"/>
    <x v="3"/>
    <x v="15"/>
    <x v="9"/>
    <n v="1"/>
    <x v="41"/>
    <n v="486"/>
    <s v="Refunded"/>
  </r>
  <r>
    <x v="418"/>
    <x v="191"/>
    <x v="1"/>
    <x v="1"/>
    <x v="2"/>
    <x v="192"/>
    <x v="0"/>
    <n v="4"/>
    <x v="303"/>
    <n v="606"/>
    <s v="Refunded"/>
  </r>
  <r>
    <x v="419"/>
    <x v="191"/>
    <x v="1"/>
    <x v="4"/>
    <x v="0"/>
    <x v="96"/>
    <x v="8"/>
    <n v="4"/>
    <x v="304"/>
    <n v="7470"/>
    <s v="Pending"/>
  </r>
  <r>
    <x v="420"/>
    <x v="67"/>
    <x v="2"/>
    <x v="3"/>
    <x v="0"/>
    <x v="117"/>
    <x v="6"/>
    <n v="1"/>
    <x v="305"/>
    <n v="2970"/>
    <s v="Pending"/>
  </r>
  <r>
    <x v="421"/>
    <x v="165"/>
    <x v="4"/>
    <x v="0"/>
    <x v="1"/>
    <x v="180"/>
    <x v="7"/>
    <n v="1"/>
    <x v="149"/>
    <n v="780"/>
    <s v="Pending"/>
  </r>
  <r>
    <x v="422"/>
    <x v="148"/>
    <x v="2"/>
    <x v="5"/>
    <x v="2"/>
    <x v="193"/>
    <x v="3"/>
    <n v="4"/>
    <x v="44"/>
    <n v="1827"/>
    <s v="Pending"/>
  </r>
  <r>
    <x v="423"/>
    <x v="44"/>
    <x v="2"/>
    <x v="4"/>
    <x v="3"/>
    <x v="30"/>
    <x v="4"/>
    <n v="1"/>
    <x v="306"/>
    <n v="1812"/>
    <s v="Refunded"/>
  </r>
  <r>
    <x v="424"/>
    <x v="192"/>
    <x v="0"/>
    <x v="3"/>
    <x v="3"/>
    <x v="194"/>
    <x v="9"/>
    <n v="1"/>
    <x v="307"/>
    <n v="412"/>
    <s v="Refunded"/>
  </r>
  <r>
    <x v="425"/>
    <x v="26"/>
    <x v="2"/>
    <x v="0"/>
    <x v="3"/>
    <x v="69"/>
    <x v="5"/>
    <n v="4"/>
    <x v="308"/>
    <n v="1182"/>
    <s v="Paid"/>
  </r>
  <r>
    <x v="426"/>
    <x v="62"/>
    <x v="2"/>
    <x v="5"/>
    <x v="1"/>
    <x v="67"/>
    <x v="3"/>
    <n v="1"/>
    <x v="220"/>
    <n v="2597"/>
    <s v="Paid"/>
  </r>
  <r>
    <x v="427"/>
    <x v="133"/>
    <x v="2"/>
    <x v="5"/>
    <x v="1"/>
    <x v="14"/>
    <x v="3"/>
    <n v="2"/>
    <x v="269"/>
    <n v="2464"/>
    <s v="Partially Paid"/>
  </r>
  <r>
    <x v="428"/>
    <x v="142"/>
    <x v="1"/>
    <x v="1"/>
    <x v="0"/>
    <x v="130"/>
    <x v="6"/>
    <n v="4"/>
    <x v="309"/>
    <n v="6363"/>
    <s v="Refunded"/>
  </r>
  <r>
    <x v="429"/>
    <x v="54"/>
    <x v="2"/>
    <x v="5"/>
    <x v="1"/>
    <x v="195"/>
    <x v="2"/>
    <n v="4"/>
    <x v="95"/>
    <n v="1204"/>
    <s v="Pending"/>
  </r>
  <r>
    <x v="430"/>
    <x v="193"/>
    <x v="3"/>
    <x v="3"/>
    <x v="0"/>
    <x v="119"/>
    <x v="5"/>
    <n v="4"/>
    <x v="310"/>
    <n v="1212"/>
    <s v="Pending"/>
  </r>
  <r>
    <x v="431"/>
    <x v="194"/>
    <x v="1"/>
    <x v="4"/>
    <x v="3"/>
    <x v="165"/>
    <x v="8"/>
    <n v="1"/>
    <x v="303"/>
    <n v="6060"/>
    <s v="Paid"/>
  </r>
  <r>
    <x v="432"/>
    <x v="50"/>
    <x v="0"/>
    <x v="4"/>
    <x v="2"/>
    <x v="24"/>
    <x v="5"/>
    <n v="2"/>
    <x v="44"/>
    <n v="783"/>
    <s v="Partially Paid"/>
  </r>
  <r>
    <x v="433"/>
    <x v="116"/>
    <x v="3"/>
    <x v="0"/>
    <x v="0"/>
    <x v="196"/>
    <x v="1"/>
    <n v="1"/>
    <x v="134"/>
    <n v="3656"/>
    <s v="Pending"/>
  </r>
  <r>
    <x v="434"/>
    <x v="53"/>
    <x v="4"/>
    <x v="0"/>
    <x v="1"/>
    <x v="75"/>
    <x v="6"/>
    <n v="3"/>
    <x v="311"/>
    <n v="1494"/>
    <s v="Partially Paid"/>
  </r>
  <r>
    <x v="435"/>
    <x v="169"/>
    <x v="3"/>
    <x v="5"/>
    <x v="1"/>
    <x v="145"/>
    <x v="4"/>
    <n v="2"/>
    <x v="312"/>
    <n v="3252"/>
    <s v="Refunded"/>
  </r>
  <r>
    <x v="436"/>
    <x v="195"/>
    <x v="4"/>
    <x v="4"/>
    <x v="3"/>
    <x v="180"/>
    <x v="9"/>
    <n v="2"/>
    <x v="40"/>
    <n v="248"/>
    <s v="Paid"/>
  </r>
  <r>
    <x v="437"/>
    <x v="110"/>
    <x v="1"/>
    <x v="2"/>
    <x v="2"/>
    <x v="176"/>
    <x v="3"/>
    <n v="4"/>
    <x v="313"/>
    <n v="3220"/>
    <s v="Partially Paid"/>
  </r>
  <r>
    <x v="438"/>
    <x v="156"/>
    <x v="2"/>
    <x v="2"/>
    <x v="1"/>
    <x v="17"/>
    <x v="0"/>
    <n v="3"/>
    <x v="60"/>
    <n v="355"/>
    <s v="Paid"/>
  </r>
  <r>
    <x v="439"/>
    <x v="196"/>
    <x v="0"/>
    <x v="2"/>
    <x v="1"/>
    <x v="34"/>
    <x v="9"/>
    <n v="4"/>
    <x v="50"/>
    <n v="554"/>
    <s v="Refunded"/>
  </r>
  <r>
    <x v="440"/>
    <x v="44"/>
    <x v="4"/>
    <x v="1"/>
    <x v="0"/>
    <x v="88"/>
    <x v="0"/>
    <n v="3"/>
    <x v="149"/>
    <n v="156"/>
    <s v="Paid"/>
  </r>
  <r>
    <x v="441"/>
    <x v="134"/>
    <x v="4"/>
    <x v="5"/>
    <x v="3"/>
    <x v="161"/>
    <x v="6"/>
    <n v="4"/>
    <x v="98"/>
    <n v="1566"/>
    <s v="Refunded"/>
  </r>
  <r>
    <x v="442"/>
    <x v="11"/>
    <x v="2"/>
    <x v="3"/>
    <x v="0"/>
    <x v="197"/>
    <x v="3"/>
    <n v="1"/>
    <x v="314"/>
    <n v="2205"/>
    <s v="Partially Paid"/>
  </r>
  <r>
    <x v="443"/>
    <x v="41"/>
    <x v="4"/>
    <x v="3"/>
    <x v="0"/>
    <x v="16"/>
    <x v="0"/>
    <n v="1"/>
    <x v="315"/>
    <n v="128"/>
    <s v="Pending"/>
  </r>
  <r>
    <x v="444"/>
    <x v="174"/>
    <x v="2"/>
    <x v="5"/>
    <x v="0"/>
    <x v="171"/>
    <x v="7"/>
    <n v="3"/>
    <x v="316"/>
    <n v="1735"/>
    <s v="Paid"/>
  </r>
  <r>
    <x v="445"/>
    <x v="158"/>
    <x v="3"/>
    <x v="5"/>
    <x v="3"/>
    <x v="197"/>
    <x v="7"/>
    <n v="4"/>
    <x v="236"/>
    <n v="2560"/>
    <s v="Pending"/>
  </r>
  <r>
    <x v="446"/>
    <x v="45"/>
    <x v="1"/>
    <x v="0"/>
    <x v="1"/>
    <x v="126"/>
    <x v="0"/>
    <n v="2"/>
    <x v="317"/>
    <n v="498"/>
    <s v="Pending"/>
  </r>
  <r>
    <x v="447"/>
    <x v="37"/>
    <x v="1"/>
    <x v="5"/>
    <x v="0"/>
    <x v="89"/>
    <x v="4"/>
    <n v="2"/>
    <x v="302"/>
    <n v="3954"/>
    <s v="Partially Paid"/>
  </r>
  <r>
    <x v="448"/>
    <x v="14"/>
    <x v="2"/>
    <x v="5"/>
    <x v="0"/>
    <x v="167"/>
    <x v="7"/>
    <n v="3"/>
    <x v="305"/>
    <n v="1650"/>
    <s v="Paid"/>
  </r>
  <r>
    <x v="449"/>
    <x v="113"/>
    <x v="0"/>
    <x v="1"/>
    <x v="1"/>
    <x v="105"/>
    <x v="0"/>
    <n v="4"/>
    <x v="171"/>
    <n v="251"/>
    <s v="Partially Paid"/>
  </r>
  <r>
    <x v="450"/>
    <x v="97"/>
    <x v="3"/>
    <x v="0"/>
    <x v="1"/>
    <x v="120"/>
    <x v="0"/>
    <n v="2"/>
    <x v="318"/>
    <n v="424"/>
    <s v="Pending"/>
  </r>
  <r>
    <x v="451"/>
    <x v="139"/>
    <x v="2"/>
    <x v="3"/>
    <x v="3"/>
    <x v="40"/>
    <x v="9"/>
    <n v="4"/>
    <x v="135"/>
    <n v="518"/>
    <s v="Partially Paid"/>
  </r>
  <r>
    <x v="452"/>
    <x v="76"/>
    <x v="4"/>
    <x v="2"/>
    <x v="0"/>
    <x v="176"/>
    <x v="7"/>
    <n v="2"/>
    <x v="173"/>
    <n v="795"/>
    <s v="Paid"/>
  </r>
  <r>
    <x v="453"/>
    <x v="144"/>
    <x v="3"/>
    <x v="0"/>
    <x v="0"/>
    <x v="143"/>
    <x v="7"/>
    <n v="3"/>
    <x v="319"/>
    <n v="2580"/>
    <s v="Partially Paid"/>
  </r>
  <r>
    <x v="454"/>
    <x v="180"/>
    <x v="0"/>
    <x v="3"/>
    <x v="2"/>
    <x v="105"/>
    <x v="2"/>
    <n v="1"/>
    <x v="320"/>
    <n v="1060"/>
    <s v="Pending"/>
  </r>
  <r>
    <x v="455"/>
    <x v="174"/>
    <x v="4"/>
    <x v="4"/>
    <x v="3"/>
    <x v="14"/>
    <x v="1"/>
    <n v="2"/>
    <x v="233"/>
    <n v="936"/>
    <s v="Partially Paid"/>
  </r>
  <r>
    <x v="456"/>
    <x v="197"/>
    <x v="0"/>
    <x v="2"/>
    <x v="1"/>
    <x v="14"/>
    <x v="9"/>
    <n v="2"/>
    <x v="321"/>
    <n v="506"/>
    <s v="Paid"/>
  </r>
  <r>
    <x v="457"/>
    <x v="3"/>
    <x v="4"/>
    <x v="1"/>
    <x v="3"/>
    <x v="80"/>
    <x v="4"/>
    <n v="1"/>
    <x v="58"/>
    <n v="672"/>
    <s v="Paid"/>
  </r>
  <r>
    <x v="458"/>
    <x v="67"/>
    <x v="0"/>
    <x v="3"/>
    <x v="1"/>
    <x v="198"/>
    <x v="4"/>
    <n v="2"/>
    <x v="322"/>
    <n v="1314"/>
    <s v="Refunded"/>
  </r>
  <r>
    <x v="459"/>
    <x v="46"/>
    <x v="4"/>
    <x v="1"/>
    <x v="3"/>
    <x v="32"/>
    <x v="0"/>
    <n v="4"/>
    <x v="77"/>
    <n v="123"/>
    <s v="Partially Paid"/>
  </r>
  <r>
    <x v="460"/>
    <x v="184"/>
    <x v="1"/>
    <x v="5"/>
    <x v="0"/>
    <x v="199"/>
    <x v="2"/>
    <n v="4"/>
    <x v="124"/>
    <n v="2032"/>
    <s v="Paid"/>
  </r>
  <r>
    <x v="461"/>
    <x v="176"/>
    <x v="0"/>
    <x v="0"/>
    <x v="1"/>
    <x v="162"/>
    <x v="6"/>
    <n v="3"/>
    <x v="323"/>
    <n v="2439"/>
    <s v="Pending"/>
  </r>
  <r>
    <x v="462"/>
    <x v="100"/>
    <x v="1"/>
    <x v="0"/>
    <x v="2"/>
    <x v="73"/>
    <x v="2"/>
    <n v="3"/>
    <x v="324"/>
    <n v="2588"/>
    <s v="Paid"/>
  </r>
  <r>
    <x v="463"/>
    <x v="57"/>
    <x v="1"/>
    <x v="5"/>
    <x v="3"/>
    <x v="50"/>
    <x v="7"/>
    <n v="4"/>
    <x v="325"/>
    <n v="2820"/>
    <s v="Pending"/>
  </r>
  <r>
    <x v="464"/>
    <x v="91"/>
    <x v="1"/>
    <x v="2"/>
    <x v="1"/>
    <x v="143"/>
    <x v="2"/>
    <n v="3"/>
    <x v="33"/>
    <n v="2612"/>
    <s v="Pending"/>
  </r>
  <r>
    <x v="465"/>
    <x v="80"/>
    <x v="0"/>
    <x v="1"/>
    <x v="2"/>
    <x v="200"/>
    <x v="7"/>
    <n v="3"/>
    <x v="326"/>
    <n v="1210"/>
    <s v="Paid"/>
  </r>
  <r>
    <x v="466"/>
    <x v="142"/>
    <x v="0"/>
    <x v="3"/>
    <x v="1"/>
    <x v="157"/>
    <x v="7"/>
    <n v="3"/>
    <x v="6"/>
    <n v="1335"/>
    <s v="Pending"/>
  </r>
  <r>
    <x v="467"/>
    <x v="112"/>
    <x v="3"/>
    <x v="4"/>
    <x v="3"/>
    <x v="27"/>
    <x v="8"/>
    <n v="2"/>
    <x v="285"/>
    <n v="3890"/>
    <s v="Pending"/>
  </r>
  <r>
    <x v="468"/>
    <x v="156"/>
    <x v="3"/>
    <x v="0"/>
    <x v="3"/>
    <x v="84"/>
    <x v="8"/>
    <n v="1"/>
    <x v="202"/>
    <n v="3870"/>
    <s v="Partially Paid"/>
  </r>
  <r>
    <x v="469"/>
    <x v="168"/>
    <x v="1"/>
    <x v="0"/>
    <x v="1"/>
    <x v="101"/>
    <x v="9"/>
    <n v="2"/>
    <x v="327"/>
    <n v="1166"/>
    <s v="Partially Paid"/>
  </r>
  <r>
    <x v="470"/>
    <x v="17"/>
    <x v="4"/>
    <x v="0"/>
    <x v="2"/>
    <x v="14"/>
    <x v="2"/>
    <n v="4"/>
    <x v="17"/>
    <n v="620"/>
    <s v="Pending"/>
  </r>
  <r>
    <x v="471"/>
    <x v="198"/>
    <x v="3"/>
    <x v="3"/>
    <x v="2"/>
    <x v="15"/>
    <x v="0"/>
    <n v="4"/>
    <x v="18"/>
    <n v="362"/>
    <s v="Pending"/>
  </r>
  <r>
    <x v="472"/>
    <x v="199"/>
    <x v="3"/>
    <x v="1"/>
    <x v="3"/>
    <x v="201"/>
    <x v="4"/>
    <n v="1"/>
    <x v="328"/>
    <n v="2958"/>
    <s v="Paid"/>
  </r>
  <r>
    <x v="473"/>
    <x v="94"/>
    <x v="4"/>
    <x v="0"/>
    <x v="3"/>
    <x v="84"/>
    <x v="1"/>
    <n v="2"/>
    <x v="84"/>
    <n v="856"/>
    <s v="Paid"/>
  </r>
  <r>
    <x v="474"/>
    <x v="141"/>
    <x v="4"/>
    <x v="1"/>
    <x v="2"/>
    <x v="130"/>
    <x v="5"/>
    <n v="3"/>
    <x v="329"/>
    <n v="417"/>
    <s v="Pending"/>
  </r>
  <r>
    <x v="475"/>
    <x v="130"/>
    <x v="4"/>
    <x v="4"/>
    <x v="0"/>
    <x v="27"/>
    <x v="8"/>
    <n v="4"/>
    <x v="173"/>
    <n v="1590"/>
    <s v="Paid"/>
  </r>
  <r>
    <x v="476"/>
    <x v="100"/>
    <x v="1"/>
    <x v="4"/>
    <x v="0"/>
    <x v="160"/>
    <x v="7"/>
    <n v="4"/>
    <x v="330"/>
    <n v="2950"/>
    <s v="Paid"/>
  </r>
  <r>
    <x v="477"/>
    <x v="132"/>
    <x v="0"/>
    <x v="1"/>
    <x v="2"/>
    <x v="176"/>
    <x v="1"/>
    <n v="3"/>
    <x v="331"/>
    <n v="1952"/>
    <s v="Partially Paid"/>
  </r>
  <r>
    <x v="478"/>
    <x v="200"/>
    <x v="0"/>
    <x v="1"/>
    <x v="0"/>
    <x v="140"/>
    <x v="6"/>
    <n v="1"/>
    <x v="237"/>
    <n v="2097"/>
    <s v="Paid"/>
  </r>
  <r>
    <x v="479"/>
    <x v="201"/>
    <x v="3"/>
    <x v="2"/>
    <x v="0"/>
    <x v="148"/>
    <x v="8"/>
    <n v="1"/>
    <x v="79"/>
    <n v="4740"/>
    <s v="Partially Paid"/>
  </r>
  <r>
    <x v="480"/>
    <x v="95"/>
    <x v="1"/>
    <x v="0"/>
    <x v="0"/>
    <x v="202"/>
    <x v="9"/>
    <n v="4"/>
    <x v="332"/>
    <n v="1270"/>
    <s v="Refunded"/>
  </r>
  <r>
    <x v="481"/>
    <x v="10"/>
    <x v="4"/>
    <x v="5"/>
    <x v="2"/>
    <x v="18"/>
    <x v="1"/>
    <n v="4"/>
    <x v="108"/>
    <n v="1288"/>
    <s v="Pending"/>
  </r>
  <r>
    <x v="482"/>
    <x v="131"/>
    <x v="1"/>
    <x v="0"/>
    <x v="2"/>
    <x v="24"/>
    <x v="0"/>
    <n v="4"/>
    <x v="333"/>
    <n v="473"/>
    <s v="Refunded"/>
  </r>
  <r>
    <x v="483"/>
    <x v="121"/>
    <x v="2"/>
    <x v="5"/>
    <x v="1"/>
    <x v="203"/>
    <x v="8"/>
    <n v="4"/>
    <x v="334"/>
    <n v="3450"/>
    <s v="Refunded"/>
  </r>
  <r>
    <x v="484"/>
    <x v="191"/>
    <x v="2"/>
    <x v="3"/>
    <x v="2"/>
    <x v="97"/>
    <x v="6"/>
    <n v="2"/>
    <x v="299"/>
    <n v="3510"/>
    <s v="Refunded"/>
  </r>
  <r>
    <x v="485"/>
    <x v="171"/>
    <x v="4"/>
    <x v="4"/>
    <x v="2"/>
    <x v="171"/>
    <x v="1"/>
    <n v="1"/>
    <x v="233"/>
    <n v="936"/>
    <s v="Pending"/>
  </r>
  <r>
    <x v="486"/>
    <x v="202"/>
    <x v="1"/>
    <x v="2"/>
    <x v="0"/>
    <x v="29"/>
    <x v="5"/>
    <n v="1"/>
    <x v="156"/>
    <n v="2184"/>
    <s v="Paid"/>
  </r>
  <r>
    <x v="487"/>
    <x v="166"/>
    <x v="2"/>
    <x v="2"/>
    <x v="0"/>
    <x v="71"/>
    <x v="6"/>
    <n v="1"/>
    <x v="157"/>
    <n v="3060"/>
    <s v="Partially Paid"/>
  </r>
  <r>
    <x v="488"/>
    <x v="167"/>
    <x v="0"/>
    <x v="4"/>
    <x v="0"/>
    <x v="62"/>
    <x v="5"/>
    <n v="3"/>
    <x v="101"/>
    <n v="570"/>
    <s v="Refunded"/>
  </r>
  <r>
    <x v="489"/>
    <x v="203"/>
    <x v="1"/>
    <x v="3"/>
    <x v="2"/>
    <x v="10"/>
    <x v="3"/>
    <n v="4"/>
    <x v="335"/>
    <n v="3458"/>
    <s v="Refunded"/>
  </r>
  <r>
    <x v="490"/>
    <x v="42"/>
    <x v="2"/>
    <x v="5"/>
    <x v="1"/>
    <x v="127"/>
    <x v="3"/>
    <n v="1"/>
    <x v="60"/>
    <n v="2485"/>
    <s v="Pending"/>
  </r>
  <r>
    <x v="491"/>
    <x v="50"/>
    <x v="2"/>
    <x v="4"/>
    <x v="1"/>
    <x v="192"/>
    <x v="8"/>
    <n v="4"/>
    <x v="334"/>
    <n v="3450"/>
    <s v="Partially Paid"/>
  </r>
  <r>
    <x v="492"/>
    <x v="203"/>
    <x v="0"/>
    <x v="1"/>
    <x v="2"/>
    <x v="3"/>
    <x v="4"/>
    <n v="2"/>
    <x v="241"/>
    <n v="1380"/>
    <s v="Paid"/>
  </r>
  <r>
    <x v="493"/>
    <x v="200"/>
    <x v="2"/>
    <x v="3"/>
    <x v="2"/>
    <x v="203"/>
    <x v="7"/>
    <n v="4"/>
    <x v="336"/>
    <n v="1260"/>
    <s v="Partially Paid"/>
  </r>
  <r>
    <x v="494"/>
    <x v="111"/>
    <x v="1"/>
    <x v="1"/>
    <x v="0"/>
    <x v="161"/>
    <x v="7"/>
    <n v="1"/>
    <x v="261"/>
    <n v="3130"/>
    <s v="Paid"/>
  </r>
  <r>
    <x v="495"/>
    <x v="90"/>
    <x v="1"/>
    <x v="0"/>
    <x v="3"/>
    <x v="16"/>
    <x v="2"/>
    <n v="2"/>
    <x v="337"/>
    <n v="2704"/>
    <s v="Paid"/>
  </r>
  <r>
    <x v="496"/>
    <x v="140"/>
    <x v="0"/>
    <x v="2"/>
    <x v="2"/>
    <x v="126"/>
    <x v="4"/>
    <n v="4"/>
    <x v="268"/>
    <n v="1386"/>
    <s v="Refunded"/>
  </r>
  <r>
    <x v="497"/>
    <x v="204"/>
    <x v="3"/>
    <x v="3"/>
    <x v="2"/>
    <x v="114"/>
    <x v="6"/>
    <n v="4"/>
    <x v="79"/>
    <n v="4266"/>
    <s v="Partially Paid"/>
  </r>
  <r>
    <x v="498"/>
    <x v="188"/>
    <x v="4"/>
    <x v="2"/>
    <x v="3"/>
    <x v="96"/>
    <x v="5"/>
    <n v="3"/>
    <x v="76"/>
    <n v="504"/>
    <s v="Pending"/>
  </r>
  <r>
    <x v="499"/>
    <x v="205"/>
    <x v="0"/>
    <x v="5"/>
    <x v="3"/>
    <x v="21"/>
    <x v="3"/>
    <n v="3"/>
    <x v="49"/>
    <n v="1834"/>
    <s v="Partially Paid"/>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
  <r>
    <x v="0"/>
    <x v="0"/>
    <n v="447"/>
    <n v="327.91954022988506"/>
    <x v="0"/>
    <n v="0.14528774572467754"/>
    <m/>
  </r>
  <r>
    <x v="1"/>
    <x v="1"/>
    <n v="581"/>
    <n v="232.52727272727273"/>
    <x v="1"/>
    <n v="0.1335867590661374"/>
    <m/>
  </r>
  <r>
    <x v="2"/>
    <x v="2"/>
    <n v="469"/>
    <n v="135.03488372093022"/>
    <x v="2"/>
    <n v="6.2164830946171111E-2"/>
    <m/>
  </r>
  <r>
    <x v="3"/>
    <x v="3"/>
    <n v="657"/>
    <n v="612.34745762711862"/>
    <x v="3"/>
    <n v="0.40005976150804801"/>
    <m/>
  </r>
  <r>
    <x v="4"/>
    <x v="4"/>
    <n v="587"/>
    <n v="450.91919191919192"/>
    <x v="4"/>
    <n v="0.25890090275496597"/>
    <m/>
  </r>
  <r>
    <x v="5"/>
    <x v="5"/>
    <n v="2741"/>
    <n v="351.74966924487973"/>
    <x v="5"/>
    <n v="1"/>
    <m/>
  </r>
  <r>
    <x v="6"/>
    <x v="2"/>
    <n v="447"/>
    <n v="135.03488372093022"/>
    <x v="2"/>
    <n v="6.2164830946171111E-2"/>
    <m/>
  </r>
  <r>
    <x v="7"/>
    <x v="3"/>
    <n v="657"/>
    <n v="612.34745762711862"/>
    <x v="3"/>
    <n v="0.40005976150804801"/>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1077865-8015-49DA-B16E-497D9FDA1CED}" name="PivotTable1"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A3:B12" firstHeaderRow="1" firstDataRow="1" firstDataCol="1"/>
  <pivotFields count="7">
    <pivotField axis="axisRow" showAll="0">
      <items count="9">
        <item x="0"/>
        <item x="1"/>
        <item x="4"/>
        <item x="5"/>
        <item x="7"/>
        <item x="6"/>
        <item x="3"/>
        <item x="2"/>
        <item t="default"/>
      </items>
    </pivotField>
    <pivotField dataField="1" numFmtId="3" showAll="0">
      <items count="7">
        <item x="2"/>
        <item x="0"/>
        <item x="4"/>
        <item x="1"/>
        <item x="3"/>
        <item x="5"/>
        <item t="default"/>
      </items>
    </pivotField>
    <pivotField numFmtId="3" showAll="0"/>
    <pivotField numFmtId="165" showAll="0"/>
    <pivotField numFmtId="165" showAll="0">
      <items count="7">
        <item x="2"/>
        <item x="1"/>
        <item x="0"/>
        <item x="4"/>
        <item x="3"/>
        <item x="5"/>
        <item t="default"/>
      </items>
    </pivotField>
    <pivotField numFmtId="166" showAll="0"/>
    <pivotField showAll="0"/>
  </pivotFields>
  <rowFields count="1">
    <field x="0"/>
  </rowFields>
  <rowItems count="9">
    <i>
      <x/>
    </i>
    <i>
      <x v="1"/>
    </i>
    <i>
      <x v="2"/>
    </i>
    <i>
      <x v="3"/>
    </i>
    <i>
      <x v="4"/>
    </i>
    <i>
      <x v="5"/>
    </i>
    <i>
      <x v="6"/>
    </i>
    <i>
      <x v="7"/>
    </i>
    <i t="grand">
      <x/>
    </i>
  </rowItems>
  <colItems count="1">
    <i/>
  </colItems>
  <dataFields count="1">
    <dataField name="Sum of Total Bookings" fld="1" baseField="0" baseItem="0" numFmtId="3"/>
  </dataFields>
  <chartFormats count="2">
    <chartFormat chart="14" format="4"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4BF78AE-C0F2-4E65-9CED-4F282B70E9B1}"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location ref="A3:B9" firstHeaderRow="1" firstDataRow="1" firstDataCol="1"/>
  <pivotFields count="13">
    <pivotField showAll="0"/>
    <pivotField showAll="0"/>
    <pivotField axis="axisRow" showAll="0">
      <items count="6">
        <item x="2"/>
        <item x="0"/>
        <item x="3"/>
        <item x="1"/>
        <item x="4"/>
        <item t="default"/>
      </items>
    </pivotField>
    <pivotField showAll="0"/>
    <pivotField showAll="0">
      <items count="5">
        <item x="2"/>
        <item x="1"/>
        <item x="0"/>
        <item x="3"/>
        <item t="default"/>
      </items>
    </pivotField>
    <pivotField numFmtId="164" showAll="0">
      <items count="205">
        <item x="188"/>
        <item x="22"/>
        <item x="79"/>
        <item x="12"/>
        <item x="80"/>
        <item x="132"/>
        <item x="191"/>
        <item x="127"/>
        <item x="139"/>
        <item x="200"/>
        <item x="60"/>
        <item x="89"/>
        <item x="167"/>
        <item x="75"/>
        <item x="148"/>
        <item x="193"/>
        <item x="199"/>
        <item x="4"/>
        <item x="74"/>
        <item x="56"/>
        <item x="81"/>
        <item x="186"/>
        <item x="24"/>
        <item x="84"/>
        <item x="25"/>
        <item x="26"/>
        <item x="128"/>
        <item x="33"/>
        <item x="63"/>
        <item x="116"/>
        <item x="162"/>
        <item x="124"/>
        <item x="15"/>
        <item x="61"/>
        <item x="95"/>
        <item x="99"/>
        <item x="105"/>
        <item x="185"/>
        <item x="202"/>
        <item x="23"/>
        <item x="43"/>
        <item x="109"/>
        <item x="2"/>
        <item x="203"/>
        <item x="11"/>
        <item x="98"/>
        <item x="136"/>
        <item x="30"/>
        <item x="137"/>
        <item x="144"/>
        <item x="108"/>
        <item x="91"/>
        <item x="37"/>
        <item x="177"/>
        <item x="194"/>
        <item x="86"/>
        <item x="51"/>
        <item x="107"/>
        <item x="158"/>
        <item x="169"/>
        <item x="119"/>
        <item x="155"/>
        <item x="149"/>
        <item x="151"/>
        <item x="35"/>
        <item x="3"/>
        <item x="145"/>
        <item x="170"/>
        <item x="159"/>
        <item x="64"/>
        <item x="122"/>
        <item x="157"/>
        <item x="1"/>
        <item x="96"/>
        <item x="92"/>
        <item x="104"/>
        <item x="55"/>
        <item x="88"/>
        <item x="85"/>
        <item x="192"/>
        <item x="125"/>
        <item x="48"/>
        <item x="5"/>
        <item x="32"/>
        <item x="168"/>
        <item x="113"/>
        <item x="190"/>
        <item x="103"/>
        <item x="97"/>
        <item x="134"/>
        <item x="117"/>
        <item x="166"/>
        <item x="153"/>
        <item x="53"/>
        <item x="49"/>
        <item x="42"/>
        <item x="120"/>
        <item x="110"/>
        <item x="29"/>
        <item x="164"/>
        <item x="46"/>
        <item x="82"/>
        <item x="114"/>
        <item x="10"/>
        <item x="0"/>
        <item x="101"/>
        <item x="154"/>
        <item x="195"/>
        <item x="176"/>
        <item x="184"/>
        <item x="161"/>
        <item x="7"/>
        <item x="142"/>
        <item x="180"/>
        <item x="171"/>
        <item x="16"/>
        <item x="68"/>
        <item x="163"/>
        <item x="58"/>
        <item x="93"/>
        <item x="8"/>
        <item x="152"/>
        <item x="38"/>
        <item x="165"/>
        <item x="40"/>
        <item x="183"/>
        <item x="156"/>
        <item x="111"/>
        <item x="50"/>
        <item x="133"/>
        <item x="18"/>
        <item x="174"/>
        <item x="182"/>
        <item x="143"/>
        <item x="150"/>
        <item x="41"/>
        <item x="52"/>
        <item x="102"/>
        <item x="19"/>
        <item x="21"/>
        <item x="160"/>
        <item x="138"/>
        <item x="179"/>
        <item x="77"/>
        <item x="187"/>
        <item x="129"/>
        <item x="27"/>
        <item x="87"/>
        <item x="13"/>
        <item x="126"/>
        <item x="172"/>
        <item x="90"/>
        <item x="112"/>
        <item x="146"/>
        <item x="47"/>
        <item x="71"/>
        <item x="83"/>
        <item x="94"/>
        <item x="115"/>
        <item x="140"/>
        <item x="62"/>
        <item x="73"/>
        <item x="44"/>
        <item x="175"/>
        <item x="57"/>
        <item x="118"/>
        <item x="17"/>
        <item x="131"/>
        <item x="181"/>
        <item x="20"/>
        <item x="36"/>
        <item x="78"/>
        <item x="54"/>
        <item x="6"/>
        <item x="197"/>
        <item x="70"/>
        <item x="31"/>
        <item x="173"/>
        <item x="130"/>
        <item x="201"/>
        <item x="196"/>
        <item x="65"/>
        <item x="106"/>
        <item x="69"/>
        <item x="72"/>
        <item x="67"/>
        <item x="34"/>
        <item x="189"/>
        <item x="178"/>
        <item x="198"/>
        <item x="76"/>
        <item x="147"/>
        <item x="123"/>
        <item x="135"/>
        <item x="141"/>
        <item x="66"/>
        <item x="59"/>
        <item x="39"/>
        <item x="121"/>
        <item x="100"/>
        <item x="45"/>
        <item x="9"/>
        <item x="14"/>
        <item x="28"/>
        <item t="default"/>
      </items>
    </pivotField>
    <pivotField showAll="0">
      <items count="11">
        <item h="1" x="0"/>
        <item h="1" x="9"/>
        <item x="5"/>
        <item h="1" x="2"/>
        <item h="1" x="7"/>
        <item h="1" x="4"/>
        <item h="1" x="3"/>
        <item h="1" x="1"/>
        <item h="1" x="6"/>
        <item h="1" x="8"/>
        <item t="default"/>
      </items>
    </pivotField>
    <pivotField showAll="0"/>
    <pivotField dataField="1" numFmtId="165" showAll="0">
      <items count="339">
        <item x="266"/>
        <item x="298"/>
        <item x="219"/>
        <item x="14"/>
        <item x="84"/>
        <item x="152"/>
        <item x="56"/>
        <item x="58"/>
        <item x="65"/>
        <item x="67"/>
        <item x="81"/>
        <item x="233"/>
        <item x="175"/>
        <item x="255"/>
        <item x="75"/>
        <item x="77"/>
        <item x="40"/>
        <item x="199"/>
        <item x="148"/>
        <item x="315"/>
        <item x="226"/>
        <item x="200"/>
        <item x="143"/>
        <item x="92"/>
        <item x="80"/>
        <item x="112"/>
        <item x="159"/>
        <item x="282"/>
        <item x="329"/>
        <item x="70"/>
        <item x="264"/>
        <item x="17"/>
        <item x="149"/>
        <item x="225"/>
        <item x="12"/>
        <item x="173"/>
        <item x="108"/>
        <item x="244"/>
        <item x="311"/>
        <item x="76"/>
        <item x="105"/>
        <item x="121"/>
        <item x="191"/>
        <item x="98"/>
        <item x="278"/>
        <item x="73"/>
        <item x="29"/>
        <item x="281"/>
        <item x="197"/>
        <item x="87"/>
        <item x="188"/>
        <item x="101"/>
        <item x="201"/>
        <item x="26"/>
        <item x="32"/>
        <item x="90"/>
        <item x="16"/>
        <item x="295"/>
        <item x="160"/>
        <item x="9"/>
        <item x="248"/>
        <item x="42"/>
        <item x="172"/>
        <item x="307"/>
        <item x="27"/>
        <item x="224"/>
        <item x="203"/>
        <item x="119"/>
        <item x="129"/>
        <item x="272"/>
        <item x="322"/>
        <item x="232"/>
        <item x="13"/>
        <item x="163"/>
        <item x="97"/>
        <item x="15"/>
        <item x="212"/>
        <item x="241"/>
        <item x="268"/>
        <item x="19"/>
        <item x="237"/>
        <item x="208"/>
        <item x="270"/>
        <item x="110"/>
        <item x="23"/>
        <item x="273"/>
        <item x="115"/>
        <item x="326"/>
        <item x="41"/>
        <item x="331"/>
        <item x="146"/>
        <item x="11"/>
        <item x="180"/>
        <item x="171"/>
        <item x="336"/>
        <item x="321"/>
        <item x="118"/>
        <item x="0"/>
        <item x="189"/>
        <item x="135"/>
        <item x="68"/>
        <item x="44"/>
        <item x="49"/>
        <item x="194"/>
        <item x="52"/>
        <item x="320"/>
        <item x="239"/>
        <item x="6"/>
        <item x="223"/>
        <item x="240"/>
        <item x="323"/>
        <item x="183"/>
        <item x="166"/>
        <item x="38"/>
        <item x="36"/>
        <item x="50"/>
        <item x="69"/>
        <item x="155"/>
        <item x="127"/>
        <item x="256"/>
        <item x="293"/>
        <item x="39"/>
        <item x="207"/>
        <item x="61"/>
        <item x="95"/>
        <item x="306"/>
        <item x="291"/>
        <item x="114"/>
        <item x="301"/>
        <item x="74"/>
        <item x="187"/>
        <item x="111"/>
        <item x="165"/>
        <item x="314"/>
        <item x="5"/>
        <item x="10"/>
        <item x="170"/>
        <item x="300"/>
        <item x="305"/>
        <item x="107"/>
        <item x="43"/>
        <item x="3"/>
        <item x="94"/>
        <item x="137"/>
        <item x="157"/>
        <item x="334"/>
        <item x="162"/>
        <item x="316"/>
        <item x="31"/>
        <item x="103"/>
        <item x="269"/>
        <item x="169"/>
        <item x="195"/>
        <item x="60"/>
        <item x="161"/>
        <item x="277"/>
        <item x="260"/>
        <item x="18"/>
        <item x="30"/>
        <item x="35"/>
        <item x="8"/>
        <item x="258"/>
        <item x="116"/>
        <item x="220"/>
        <item x="257"/>
        <item x="147"/>
        <item x="206"/>
        <item x="231"/>
        <item x="246"/>
        <item x="242"/>
        <item x="21"/>
        <item x="210"/>
        <item x="168"/>
        <item x="104"/>
        <item x="202"/>
        <item x="285"/>
        <item x="299"/>
        <item x="288"/>
        <item x="66"/>
        <item x="227"/>
        <item x="308"/>
        <item x="290"/>
        <item x="7"/>
        <item x="222"/>
        <item x="177"/>
        <item x="93"/>
        <item x="310"/>
        <item x="45"/>
        <item x="57"/>
        <item x="247"/>
        <item x="109"/>
        <item x="228"/>
        <item x="37"/>
        <item x="28"/>
        <item x="318"/>
        <item x="82"/>
        <item x="263"/>
        <item x="24"/>
        <item x="289"/>
        <item x="120"/>
        <item x="185"/>
        <item x="46"/>
        <item x="221"/>
        <item x="280"/>
        <item x="140"/>
        <item x="279"/>
        <item x="4"/>
        <item x="154"/>
        <item x="141"/>
        <item x="134"/>
        <item x="136"/>
        <item x="313"/>
        <item x="117"/>
        <item x="128"/>
        <item x="158"/>
        <item x="254"/>
        <item x="51"/>
        <item x="234"/>
        <item x="262"/>
        <item x="89"/>
        <item x="333"/>
        <item x="79"/>
        <item x="276"/>
        <item x="196"/>
        <item x="144"/>
        <item x="214"/>
        <item x="292"/>
        <item x="34"/>
        <item x="184"/>
        <item x="86"/>
        <item x="209"/>
        <item x="48"/>
        <item x="328"/>
        <item x="335"/>
        <item x="215"/>
        <item x="317"/>
        <item x="284"/>
        <item x="181"/>
        <item x="55"/>
        <item x="230"/>
        <item x="63"/>
        <item x="283"/>
        <item x="124"/>
        <item x="138"/>
        <item x="236"/>
        <item x="91"/>
        <item x="319"/>
        <item x="167"/>
        <item x="213"/>
        <item x="106"/>
        <item x="64"/>
        <item x="238"/>
        <item x="249"/>
        <item x="192"/>
        <item x="20"/>
        <item x="62"/>
        <item x="54"/>
        <item x="100"/>
        <item x="85"/>
        <item x="123"/>
        <item x="53"/>
        <item x="198"/>
        <item x="312"/>
        <item x="271"/>
        <item x="245"/>
        <item x="71"/>
        <item x="267"/>
        <item x="150"/>
        <item x="22"/>
        <item x="325"/>
        <item x="193"/>
        <item x="179"/>
        <item x="2"/>
        <item x="133"/>
        <item x="243"/>
        <item x="1"/>
        <item x="102"/>
        <item x="327"/>
        <item x="253"/>
        <item x="190"/>
        <item x="126"/>
        <item x="330"/>
        <item x="125"/>
        <item x="259"/>
        <item x="186"/>
        <item x="174"/>
        <item x="216"/>
        <item x="96"/>
        <item x="217"/>
        <item x="303"/>
        <item x="294"/>
        <item x="131"/>
        <item x="296"/>
        <item x="275"/>
        <item x="261"/>
        <item x="122"/>
        <item x="252"/>
        <item x="72"/>
        <item x="88"/>
        <item x="332"/>
        <item x="164"/>
        <item x="132"/>
        <item x="324"/>
        <item x="274"/>
        <item x="265"/>
        <item x="153"/>
        <item x="33"/>
        <item x="182"/>
        <item x="302"/>
        <item x="235"/>
        <item x="142"/>
        <item x="211"/>
        <item x="337"/>
        <item x="99"/>
        <item x="139"/>
        <item x="218"/>
        <item x="83"/>
        <item x="176"/>
        <item x="251"/>
        <item x="130"/>
        <item x="229"/>
        <item x="47"/>
        <item x="309"/>
        <item x="113"/>
        <item x="151"/>
        <item x="205"/>
        <item x="204"/>
        <item x="156"/>
        <item x="78"/>
        <item x="178"/>
        <item x="286"/>
        <item x="297"/>
        <item x="250"/>
        <item x="25"/>
        <item x="145"/>
        <item x="59"/>
        <item x="287"/>
        <item x="304"/>
        <item t="default"/>
      </items>
    </pivotField>
    <pivotField numFmtId="165"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2"/>
  </rowFields>
  <rowItems count="6">
    <i>
      <x/>
    </i>
    <i>
      <x v="1"/>
    </i>
    <i>
      <x v="2"/>
    </i>
    <i>
      <x v="3"/>
    </i>
    <i>
      <x v="4"/>
    </i>
    <i t="grand">
      <x/>
    </i>
  </rowItems>
  <colItems count="1">
    <i/>
  </colItems>
  <dataFields count="1">
    <dataField name="Sum of Room Rate ($)" fld="8" baseField="0" baseItem="0" numFmtId="165"/>
  </dataFields>
  <chartFormats count="8">
    <chartFormat chart="4" format="8" series="1">
      <pivotArea type="data" outline="0" fieldPosition="0">
        <references count="1">
          <reference field="4294967294" count="1" selected="0">
            <x v="0"/>
          </reference>
        </references>
      </pivotArea>
    </chartFormat>
    <chartFormat chart="4" format="9">
      <pivotArea type="data" outline="0" fieldPosition="0">
        <references count="2">
          <reference field="4294967294" count="1" selected="0">
            <x v="0"/>
          </reference>
          <reference field="2" count="1" selected="0">
            <x v="0"/>
          </reference>
        </references>
      </pivotArea>
    </chartFormat>
    <chartFormat chart="4" format="10">
      <pivotArea type="data" outline="0" fieldPosition="0">
        <references count="2">
          <reference field="4294967294" count="1" selected="0">
            <x v="0"/>
          </reference>
          <reference field="2" count="1" selected="0">
            <x v="1"/>
          </reference>
        </references>
      </pivotArea>
    </chartFormat>
    <chartFormat chart="4" format="11">
      <pivotArea type="data" outline="0" fieldPosition="0">
        <references count="2">
          <reference field="4294967294" count="1" selected="0">
            <x v="0"/>
          </reference>
          <reference field="2" count="1" selected="0">
            <x v="2"/>
          </reference>
        </references>
      </pivotArea>
    </chartFormat>
    <chartFormat chart="4" format="12">
      <pivotArea type="data" outline="0" fieldPosition="0">
        <references count="2">
          <reference field="4294967294" count="1" selected="0">
            <x v="0"/>
          </reference>
          <reference field="2" count="1" selected="0">
            <x v="3"/>
          </reference>
        </references>
      </pivotArea>
    </chartFormat>
    <chartFormat chart="4" format="13">
      <pivotArea type="data" outline="0" fieldPosition="0">
        <references count="2">
          <reference field="4294967294" count="1" selected="0">
            <x v="0"/>
          </reference>
          <reference field="2" count="1" selected="0">
            <x v="4"/>
          </reference>
        </references>
      </pivotArea>
    </chartFormat>
    <chartFormat chart="12" format="16" series="1">
      <pivotArea type="data" outline="0" fieldPosition="0">
        <references count="1">
          <reference field="4294967294" count="1" selected="0">
            <x v="0"/>
          </reference>
        </references>
      </pivotArea>
    </chartFormat>
    <chartFormat chart="12" format="17">
      <pivotArea type="data" outline="0" fieldPosition="0">
        <references count="2">
          <reference field="4294967294" count="1" selected="0">
            <x v="0"/>
          </reference>
          <reference field="2"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BD682B9-867F-4602-9C12-152C4B76680A}"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location ref="A3:C10" firstHeaderRow="0" firstDataRow="1" firstDataCol="1"/>
  <pivotFields count="13">
    <pivotField showAll="0">
      <items count="5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t="default"/>
      </items>
    </pivotField>
    <pivotField showAll="0">
      <items count="207">
        <item x="69"/>
        <item x="131"/>
        <item x="136"/>
        <item x="34"/>
        <item x="52"/>
        <item x="44"/>
        <item x="70"/>
        <item x="24"/>
        <item x="168"/>
        <item x="6"/>
        <item x="122"/>
        <item x="95"/>
        <item x="49"/>
        <item x="159"/>
        <item x="163"/>
        <item x="185"/>
        <item x="116"/>
        <item x="201"/>
        <item x="29"/>
        <item x="179"/>
        <item x="56"/>
        <item x="66"/>
        <item x="59"/>
        <item x="189"/>
        <item x="45"/>
        <item x="33"/>
        <item x="13"/>
        <item x="62"/>
        <item x="104"/>
        <item x="127"/>
        <item x="87"/>
        <item x="175"/>
        <item x="11"/>
        <item x="64"/>
        <item x="115"/>
        <item x="71"/>
        <item x="118"/>
        <item x="8"/>
        <item x="43"/>
        <item x="161"/>
        <item x="112"/>
        <item x="154"/>
        <item x="105"/>
        <item x="91"/>
        <item x="78"/>
        <item x="17"/>
        <item x="82"/>
        <item x="38"/>
        <item x="114"/>
        <item x="15"/>
        <item x="42"/>
        <item x="53"/>
        <item x="86"/>
        <item x="0"/>
        <item x="142"/>
        <item x="21"/>
        <item x="204"/>
        <item x="184"/>
        <item x="35"/>
        <item x="178"/>
        <item x="98"/>
        <item x="205"/>
        <item x="125"/>
        <item x="92"/>
        <item x="155"/>
        <item x="138"/>
        <item x="162"/>
        <item x="196"/>
        <item x="81"/>
        <item x="99"/>
        <item x="183"/>
        <item x="180"/>
        <item x="133"/>
        <item x="164"/>
        <item x="89"/>
        <item x="172"/>
        <item x="195"/>
        <item x="27"/>
        <item x="46"/>
        <item x="110"/>
        <item x="102"/>
        <item x="4"/>
        <item x="111"/>
        <item x="171"/>
        <item x="139"/>
        <item x="88"/>
        <item x="103"/>
        <item x="32"/>
        <item x="3"/>
        <item x="113"/>
        <item x="36"/>
        <item x="57"/>
        <item x="28"/>
        <item x="101"/>
        <item x="16"/>
        <item x="72"/>
        <item x="167"/>
        <item x="144"/>
        <item x="174"/>
        <item x="18"/>
        <item x="187"/>
        <item x="85"/>
        <item x="173"/>
        <item x="190"/>
        <item x="58"/>
        <item x="166"/>
        <item x="48"/>
        <item x="55"/>
        <item x="75"/>
        <item x="176"/>
        <item x="170"/>
        <item x="193"/>
        <item x="5"/>
        <item x="84"/>
        <item x="74"/>
        <item x="23"/>
        <item x="197"/>
        <item x="79"/>
        <item x="12"/>
        <item x="200"/>
        <item x="120"/>
        <item x="141"/>
        <item x="186"/>
        <item x="146"/>
        <item x="132"/>
        <item x="117"/>
        <item x="148"/>
        <item x="73"/>
        <item x="20"/>
        <item x="191"/>
        <item x="60"/>
        <item x="107"/>
        <item x="192"/>
        <item x="137"/>
        <item x="93"/>
        <item x="106"/>
        <item x="9"/>
        <item x="130"/>
        <item x="177"/>
        <item x="194"/>
        <item x="126"/>
        <item x="128"/>
        <item x="54"/>
        <item x="202"/>
        <item x="100"/>
        <item x="140"/>
        <item x="97"/>
        <item x="37"/>
        <item x="198"/>
        <item x="63"/>
        <item x="108"/>
        <item x="169"/>
        <item x="181"/>
        <item x="67"/>
        <item x="80"/>
        <item x="182"/>
        <item x="30"/>
        <item x="119"/>
        <item x="160"/>
        <item x="61"/>
        <item x="22"/>
        <item x="2"/>
        <item x="129"/>
        <item x="39"/>
        <item x="199"/>
        <item x="77"/>
        <item x="143"/>
        <item x="7"/>
        <item x="203"/>
        <item x="147"/>
        <item x="1"/>
        <item x="157"/>
        <item x="65"/>
        <item x="158"/>
        <item x="152"/>
        <item x="124"/>
        <item x="135"/>
        <item x="123"/>
        <item x="14"/>
        <item x="188"/>
        <item x="90"/>
        <item x="94"/>
        <item x="51"/>
        <item x="145"/>
        <item x="83"/>
        <item x="50"/>
        <item x="68"/>
        <item x="109"/>
        <item x="10"/>
        <item x="31"/>
        <item x="40"/>
        <item x="96"/>
        <item x="153"/>
        <item x="149"/>
        <item x="165"/>
        <item x="19"/>
        <item x="41"/>
        <item x="47"/>
        <item x="134"/>
        <item x="26"/>
        <item x="150"/>
        <item x="156"/>
        <item x="25"/>
        <item x="121"/>
        <item x="76"/>
        <item x="151"/>
        <item t="default"/>
      </items>
    </pivotField>
    <pivotField axis="axisRow" showAll="0">
      <items count="6">
        <item sd="0" x="2"/>
        <item sd="0" x="0"/>
        <item sd="0" x="3"/>
        <item sd="0" x="1"/>
        <item sd="0" x="4"/>
        <item t="default"/>
      </items>
    </pivotField>
    <pivotField axis="axisRow" showAll="0">
      <items count="7">
        <item sd="0" x="1"/>
        <item sd="0" x="3"/>
        <item sd="0" x="2"/>
        <item sd="0" x="5"/>
        <item sd="0" x="4"/>
        <item sd="0" x="0"/>
        <item t="default"/>
      </items>
    </pivotField>
    <pivotField showAll="0">
      <items count="5">
        <item x="2"/>
        <item x="1"/>
        <item x="0"/>
        <item x="3"/>
        <item t="default"/>
      </items>
    </pivotField>
    <pivotField numFmtId="164" showAll="0">
      <items count="205">
        <item x="188"/>
        <item x="22"/>
        <item x="79"/>
        <item x="12"/>
        <item x="80"/>
        <item x="132"/>
        <item x="191"/>
        <item x="127"/>
        <item x="139"/>
        <item x="200"/>
        <item x="60"/>
        <item x="89"/>
        <item x="167"/>
        <item x="75"/>
        <item x="148"/>
        <item x="193"/>
        <item x="199"/>
        <item x="4"/>
        <item x="74"/>
        <item x="56"/>
        <item x="81"/>
        <item x="186"/>
        <item x="24"/>
        <item x="84"/>
        <item x="25"/>
        <item x="26"/>
        <item x="128"/>
        <item x="33"/>
        <item x="63"/>
        <item x="116"/>
        <item x="162"/>
        <item x="124"/>
        <item x="15"/>
        <item x="61"/>
        <item x="95"/>
        <item x="99"/>
        <item x="105"/>
        <item x="185"/>
        <item x="202"/>
        <item x="23"/>
        <item x="43"/>
        <item x="109"/>
        <item x="2"/>
        <item x="203"/>
        <item x="11"/>
        <item x="98"/>
        <item x="136"/>
        <item x="30"/>
        <item x="137"/>
        <item x="144"/>
        <item x="108"/>
        <item x="91"/>
        <item x="37"/>
        <item x="177"/>
        <item x="194"/>
        <item x="86"/>
        <item x="51"/>
        <item x="107"/>
        <item x="158"/>
        <item x="169"/>
        <item x="119"/>
        <item x="155"/>
        <item x="149"/>
        <item x="151"/>
        <item x="35"/>
        <item x="3"/>
        <item x="145"/>
        <item x="170"/>
        <item x="159"/>
        <item x="64"/>
        <item x="122"/>
        <item x="157"/>
        <item x="1"/>
        <item x="96"/>
        <item x="92"/>
        <item x="104"/>
        <item x="55"/>
        <item x="88"/>
        <item x="85"/>
        <item x="192"/>
        <item x="125"/>
        <item x="48"/>
        <item x="5"/>
        <item x="32"/>
        <item x="168"/>
        <item x="113"/>
        <item x="190"/>
        <item x="103"/>
        <item x="97"/>
        <item x="134"/>
        <item x="117"/>
        <item x="166"/>
        <item x="153"/>
        <item x="53"/>
        <item x="49"/>
        <item x="42"/>
        <item x="120"/>
        <item x="110"/>
        <item x="29"/>
        <item x="164"/>
        <item x="46"/>
        <item x="82"/>
        <item x="114"/>
        <item x="10"/>
        <item x="0"/>
        <item x="101"/>
        <item x="154"/>
        <item x="195"/>
        <item x="176"/>
        <item x="184"/>
        <item x="161"/>
        <item x="7"/>
        <item x="142"/>
        <item x="180"/>
        <item x="171"/>
        <item x="16"/>
        <item x="68"/>
        <item x="163"/>
        <item x="58"/>
        <item x="93"/>
        <item x="8"/>
        <item x="152"/>
        <item x="38"/>
        <item x="165"/>
        <item x="40"/>
        <item x="183"/>
        <item x="156"/>
        <item x="111"/>
        <item x="50"/>
        <item x="133"/>
        <item x="18"/>
        <item x="174"/>
        <item x="182"/>
        <item x="143"/>
        <item x="150"/>
        <item x="41"/>
        <item x="52"/>
        <item x="102"/>
        <item x="19"/>
        <item x="21"/>
        <item x="160"/>
        <item x="138"/>
        <item x="179"/>
        <item x="77"/>
        <item x="187"/>
        <item x="129"/>
        <item x="27"/>
        <item x="87"/>
        <item x="13"/>
        <item x="126"/>
        <item x="172"/>
        <item x="90"/>
        <item x="112"/>
        <item x="146"/>
        <item x="47"/>
        <item x="71"/>
        <item x="83"/>
        <item x="94"/>
        <item x="115"/>
        <item x="140"/>
        <item x="62"/>
        <item x="73"/>
        <item x="44"/>
        <item x="175"/>
        <item x="57"/>
        <item x="118"/>
        <item x="17"/>
        <item x="131"/>
        <item x="181"/>
        <item x="20"/>
        <item x="36"/>
        <item x="78"/>
        <item x="54"/>
        <item x="6"/>
        <item x="197"/>
        <item x="70"/>
        <item x="31"/>
        <item x="173"/>
        <item x="130"/>
        <item x="201"/>
        <item x="196"/>
        <item x="65"/>
        <item x="106"/>
        <item x="69"/>
        <item x="72"/>
        <item x="67"/>
        <item x="34"/>
        <item x="189"/>
        <item x="178"/>
        <item x="198"/>
        <item x="76"/>
        <item x="147"/>
        <item x="123"/>
        <item x="135"/>
        <item x="141"/>
        <item x="66"/>
        <item x="59"/>
        <item x="39"/>
        <item x="121"/>
        <item x="100"/>
        <item x="45"/>
        <item x="9"/>
        <item x="14"/>
        <item x="28"/>
        <item t="default"/>
      </items>
    </pivotField>
    <pivotField dataField="1" showAll="0">
      <items count="11">
        <item h="1" x="0"/>
        <item h="1" x="9"/>
        <item x="5"/>
        <item h="1" x="2"/>
        <item h="1" x="7"/>
        <item h="1" x="4"/>
        <item h="1" x="3"/>
        <item h="1" x="1"/>
        <item h="1" x="6"/>
        <item h="1" x="8"/>
        <item t="default"/>
      </items>
    </pivotField>
    <pivotField showAll="0"/>
    <pivotField dataField="1" numFmtId="165" showAll="0">
      <items count="339">
        <item x="266"/>
        <item x="298"/>
        <item x="219"/>
        <item x="14"/>
        <item x="84"/>
        <item x="152"/>
        <item x="56"/>
        <item x="58"/>
        <item x="65"/>
        <item x="67"/>
        <item x="81"/>
        <item x="233"/>
        <item x="175"/>
        <item x="255"/>
        <item x="75"/>
        <item x="77"/>
        <item x="40"/>
        <item x="199"/>
        <item x="148"/>
        <item x="315"/>
        <item x="226"/>
        <item x="200"/>
        <item x="143"/>
        <item x="92"/>
        <item x="80"/>
        <item x="112"/>
        <item x="159"/>
        <item x="282"/>
        <item x="329"/>
        <item x="70"/>
        <item x="264"/>
        <item x="17"/>
        <item x="149"/>
        <item x="225"/>
        <item x="12"/>
        <item x="173"/>
        <item x="108"/>
        <item x="244"/>
        <item x="311"/>
        <item x="76"/>
        <item x="105"/>
        <item x="121"/>
        <item x="191"/>
        <item x="98"/>
        <item x="278"/>
        <item x="73"/>
        <item x="29"/>
        <item x="281"/>
        <item x="197"/>
        <item x="87"/>
        <item x="188"/>
        <item x="101"/>
        <item x="201"/>
        <item x="26"/>
        <item x="32"/>
        <item x="90"/>
        <item x="16"/>
        <item x="295"/>
        <item x="160"/>
        <item x="9"/>
        <item x="248"/>
        <item x="42"/>
        <item x="172"/>
        <item x="307"/>
        <item x="27"/>
        <item x="224"/>
        <item x="203"/>
        <item x="119"/>
        <item x="129"/>
        <item x="272"/>
        <item x="322"/>
        <item x="232"/>
        <item x="13"/>
        <item x="163"/>
        <item x="97"/>
        <item x="15"/>
        <item x="212"/>
        <item x="241"/>
        <item x="268"/>
        <item x="19"/>
        <item x="237"/>
        <item x="208"/>
        <item x="270"/>
        <item x="110"/>
        <item x="23"/>
        <item x="273"/>
        <item x="115"/>
        <item x="326"/>
        <item x="41"/>
        <item x="331"/>
        <item x="146"/>
        <item x="11"/>
        <item x="180"/>
        <item x="171"/>
        <item x="336"/>
        <item x="321"/>
        <item x="118"/>
        <item x="0"/>
        <item x="189"/>
        <item x="135"/>
        <item x="68"/>
        <item x="44"/>
        <item x="49"/>
        <item x="194"/>
        <item x="52"/>
        <item x="320"/>
        <item x="239"/>
        <item x="6"/>
        <item x="223"/>
        <item x="240"/>
        <item x="323"/>
        <item x="183"/>
        <item x="166"/>
        <item x="38"/>
        <item x="36"/>
        <item x="50"/>
        <item x="69"/>
        <item x="155"/>
        <item x="127"/>
        <item x="256"/>
        <item x="293"/>
        <item x="39"/>
        <item x="207"/>
        <item x="61"/>
        <item x="95"/>
        <item x="306"/>
        <item x="291"/>
        <item x="114"/>
        <item x="301"/>
        <item x="74"/>
        <item x="187"/>
        <item x="111"/>
        <item x="165"/>
        <item x="314"/>
        <item x="5"/>
        <item x="10"/>
        <item x="170"/>
        <item x="300"/>
        <item x="305"/>
        <item x="107"/>
        <item x="43"/>
        <item x="3"/>
        <item x="94"/>
        <item x="137"/>
        <item x="157"/>
        <item x="334"/>
        <item x="162"/>
        <item x="316"/>
        <item x="31"/>
        <item x="103"/>
        <item x="269"/>
        <item x="169"/>
        <item x="195"/>
        <item x="60"/>
        <item x="161"/>
        <item x="277"/>
        <item x="260"/>
        <item x="18"/>
        <item x="30"/>
        <item x="35"/>
        <item x="8"/>
        <item x="258"/>
        <item x="116"/>
        <item x="220"/>
        <item x="257"/>
        <item x="147"/>
        <item x="206"/>
        <item x="231"/>
        <item x="246"/>
        <item x="242"/>
        <item x="21"/>
        <item x="210"/>
        <item x="168"/>
        <item x="104"/>
        <item x="202"/>
        <item x="285"/>
        <item x="299"/>
        <item x="288"/>
        <item x="66"/>
        <item x="227"/>
        <item x="308"/>
        <item x="290"/>
        <item x="7"/>
        <item x="222"/>
        <item x="177"/>
        <item x="93"/>
        <item x="310"/>
        <item x="45"/>
        <item x="57"/>
        <item x="247"/>
        <item x="109"/>
        <item x="228"/>
        <item x="37"/>
        <item x="28"/>
        <item x="318"/>
        <item x="82"/>
        <item x="263"/>
        <item x="24"/>
        <item x="289"/>
        <item x="120"/>
        <item x="185"/>
        <item x="46"/>
        <item x="221"/>
        <item x="280"/>
        <item x="140"/>
        <item x="279"/>
        <item x="4"/>
        <item x="154"/>
        <item x="141"/>
        <item x="134"/>
        <item x="136"/>
        <item x="313"/>
        <item x="117"/>
        <item x="128"/>
        <item x="158"/>
        <item x="254"/>
        <item x="51"/>
        <item x="234"/>
        <item x="262"/>
        <item x="89"/>
        <item x="333"/>
        <item x="79"/>
        <item x="276"/>
        <item x="196"/>
        <item x="144"/>
        <item x="214"/>
        <item x="292"/>
        <item x="34"/>
        <item x="184"/>
        <item x="86"/>
        <item x="209"/>
        <item x="48"/>
        <item x="328"/>
        <item x="335"/>
        <item x="215"/>
        <item x="317"/>
        <item x="284"/>
        <item x="181"/>
        <item x="55"/>
        <item x="230"/>
        <item x="63"/>
        <item x="283"/>
        <item x="124"/>
        <item x="138"/>
        <item x="236"/>
        <item x="91"/>
        <item x="319"/>
        <item x="167"/>
        <item x="213"/>
        <item x="106"/>
        <item x="64"/>
        <item x="238"/>
        <item x="249"/>
        <item x="192"/>
        <item x="20"/>
        <item x="62"/>
        <item x="54"/>
        <item x="100"/>
        <item x="85"/>
        <item x="123"/>
        <item x="53"/>
        <item x="198"/>
        <item x="312"/>
        <item x="271"/>
        <item x="245"/>
        <item x="71"/>
        <item x="267"/>
        <item x="150"/>
        <item x="22"/>
        <item x="325"/>
        <item x="193"/>
        <item x="179"/>
        <item x="2"/>
        <item x="133"/>
        <item x="243"/>
        <item x="1"/>
        <item x="102"/>
        <item x="327"/>
        <item x="253"/>
        <item x="190"/>
        <item x="126"/>
        <item x="330"/>
        <item x="125"/>
        <item x="259"/>
        <item x="186"/>
        <item x="174"/>
        <item x="216"/>
        <item x="96"/>
        <item x="217"/>
        <item x="303"/>
        <item x="294"/>
        <item x="131"/>
        <item x="296"/>
        <item x="275"/>
        <item x="261"/>
        <item x="122"/>
        <item x="252"/>
        <item x="72"/>
        <item x="88"/>
        <item x="332"/>
        <item x="164"/>
        <item x="132"/>
        <item x="324"/>
        <item x="274"/>
        <item x="265"/>
        <item x="153"/>
        <item x="33"/>
        <item x="182"/>
        <item x="302"/>
        <item x="235"/>
        <item x="142"/>
        <item x="211"/>
        <item x="337"/>
        <item x="99"/>
        <item x="139"/>
        <item x="218"/>
        <item x="83"/>
        <item x="176"/>
        <item x="251"/>
        <item x="130"/>
        <item x="229"/>
        <item x="47"/>
        <item x="309"/>
        <item x="113"/>
        <item x="151"/>
        <item x="205"/>
        <item x="204"/>
        <item x="156"/>
        <item x="78"/>
        <item x="178"/>
        <item x="286"/>
        <item x="297"/>
        <item x="250"/>
        <item x="25"/>
        <item x="145"/>
        <item x="59"/>
        <item x="287"/>
        <item x="304"/>
        <item t="default"/>
      </items>
    </pivotField>
    <pivotField numFmtId="165" showAll="0"/>
    <pivotField showAll="0"/>
    <pivotField axis="axisRow"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4">
    <field x="3"/>
    <field x="2"/>
    <field x="12"/>
    <field x="11"/>
  </rowFields>
  <rowItems count="7">
    <i>
      <x/>
    </i>
    <i>
      <x v="1"/>
    </i>
    <i>
      <x v="2"/>
    </i>
    <i>
      <x v="3"/>
    </i>
    <i>
      <x v="4"/>
    </i>
    <i>
      <x v="5"/>
    </i>
    <i t="grand">
      <x/>
    </i>
  </rowItems>
  <colFields count="1">
    <field x="-2"/>
  </colFields>
  <colItems count="2">
    <i>
      <x/>
    </i>
    <i i="1">
      <x v="1"/>
    </i>
  </colItems>
  <dataFields count="2">
    <dataField name="Sum of Room Rate ($)" fld="8" baseField="0" baseItem="0" numFmtId="165"/>
    <dataField name="Sum of Nights" fld="6" baseField="0" baseItem="0"/>
  </dataFields>
  <chartFormats count="4">
    <chartFormat chart="11" format="2" series="1">
      <pivotArea type="data" outline="0" fieldPosition="0">
        <references count="1">
          <reference field="4294967294" count="1" selected="0">
            <x v="0"/>
          </reference>
        </references>
      </pivotArea>
    </chartFormat>
    <chartFormat chart="11" format="3" series="1">
      <pivotArea type="data" outline="0" fieldPosition="0">
        <references count="1">
          <reference field="4294967294" count="1" selected="0">
            <x v="1"/>
          </reference>
        </references>
      </pivotArea>
    </chartFormat>
    <chartFormat chart="19" format="6" series="1">
      <pivotArea type="data" outline="0" fieldPosition="0">
        <references count="1">
          <reference field="4294967294" count="1" selected="0">
            <x v="0"/>
          </reference>
        </references>
      </pivotArea>
    </chartFormat>
    <chartFormat chart="19" format="7"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Nights" xr10:uid="{CDCD1684-DF40-473C-8853-0D2BE0E5BF53}" sourceName="Nights">
  <pivotTables>
    <pivotTable tabId="6" name="PivotTable3"/>
    <pivotTable tabId="4" name="PivotTable1"/>
  </pivotTables>
  <data>
    <tabular pivotCacheId="2104721678">
      <items count="10">
        <i x="0"/>
        <i x="9"/>
        <i x="5" s="1"/>
        <i x="2"/>
        <i x="7"/>
        <i x="4"/>
        <i x="3"/>
        <i x="1"/>
        <i x="6"/>
        <i x="8"/>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oom_Rate" xr10:uid="{F8B7699B-359A-4773-8573-43258BD22E96}" sourceName="Room Rate ($)">
  <pivotTables>
    <pivotTable tabId="6" name="PivotTable3"/>
    <pivotTable tabId="4" name="PivotTable1"/>
  </pivotTables>
  <data>
    <tabular pivotCacheId="2104721678">
      <items count="338">
        <i x="67" s="1"/>
        <i x="81" s="1"/>
        <i x="175" s="1"/>
        <i x="77" s="1"/>
        <i x="329" s="1"/>
        <i x="149" s="1"/>
        <i x="225" s="1"/>
        <i x="76" s="1"/>
        <i x="98" s="1"/>
        <i x="281" s="1"/>
        <i x="101" s="1"/>
        <i x="32" s="1"/>
        <i x="9" s="1"/>
        <i x="172" s="1"/>
        <i x="97" s="1"/>
        <i x="110" s="1"/>
        <i x="41" s="1"/>
        <i x="44" s="1"/>
        <i x="49" s="1"/>
        <i x="6" s="1"/>
        <i x="223" s="1"/>
        <i x="38" s="1"/>
        <i x="36" s="1"/>
        <i x="39" s="1"/>
        <i x="165" s="1"/>
        <i x="107" s="1"/>
        <i x="162" s="1"/>
        <i x="260" s="1"/>
        <i x="299" s="1"/>
        <i x="308" s="1"/>
        <i x="310" s="1"/>
        <i x="24" s="1"/>
        <i x="46" s="1"/>
        <i x="79" s="1"/>
        <i x="276" s="1"/>
        <i x="48" s="1"/>
        <i x="55" s="1"/>
        <i x="63" s="1"/>
        <i x="124" s="1"/>
        <i x="106" s="1"/>
        <i x="125" s="1"/>
        <i x="83" s="1"/>
        <i x="251" s="1"/>
        <i x="130" s="1"/>
        <i x="113" s="1"/>
        <i x="204" s="1"/>
        <i x="156" s="1"/>
        <i x="266" s="1" nd="1"/>
        <i x="298" s="1" nd="1"/>
        <i x="219" s="1" nd="1"/>
        <i x="14" s="1" nd="1"/>
        <i x="84" s="1" nd="1"/>
        <i x="152" s="1" nd="1"/>
        <i x="56" s="1" nd="1"/>
        <i x="58" s="1" nd="1"/>
        <i x="65" s="1" nd="1"/>
        <i x="233" s="1" nd="1"/>
        <i x="255" s="1" nd="1"/>
        <i x="75" s="1" nd="1"/>
        <i x="40" s="1" nd="1"/>
        <i x="199" s="1" nd="1"/>
        <i x="148" s="1" nd="1"/>
        <i x="315" s="1" nd="1"/>
        <i x="226" s="1" nd="1"/>
        <i x="200" s="1" nd="1"/>
        <i x="143" s="1" nd="1"/>
        <i x="92" s="1" nd="1"/>
        <i x="80" s="1" nd="1"/>
        <i x="112" s="1" nd="1"/>
        <i x="159" s="1" nd="1"/>
        <i x="282" s="1" nd="1"/>
        <i x="70" s="1" nd="1"/>
        <i x="264" s="1" nd="1"/>
        <i x="17" s="1" nd="1"/>
        <i x="12" s="1" nd="1"/>
        <i x="173" s="1" nd="1"/>
        <i x="108" s="1" nd="1"/>
        <i x="244" s="1" nd="1"/>
        <i x="311" s="1" nd="1"/>
        <i x="105" s="1" nd="1"/>
        <i x="121" s="1" nd="1"/>
        <i x="191" s="1" nd="1"/>
        <i x="278" s="1" nd="1"/>
        <i x="73" s="1" nd="1"/>
        <i x="29" s="1" nd="1"/>
        <i x="197" s="1" nd="1"/>
        <i x="87" s="1" nd="1"/>
        <i x="188" s="1" nd="1"/>
        <i x="201" s="1" nd="1"/>
        <i x="26" s="1" nd="1"/>
        <i x="90" s="1" nd="1"/>
        <i x="16" s="1" nd="1"/>
        <i x="295" s="1" nd="1"/>
        <i x="160" s="1" nd="1"/>
        <i x="248" s="1" nd="1"/>
        <i x="42" s="1" nd="1"/>
        <i x="307" s="1" nd="1"/>
        <i x="27" s="1" nd="1"/>
        <i x="224" s="1" nd="1"/>
        <i x="203" s="1" nd="1"/>
        <i x="119" s="1" nd="1"/>
        <i x="129" s="1" nd="1"/>
        <i x="272" s="1" nd="1"/>
        <i x="322" s="1" nd="1"/>
        <i x="232" s="1" nd="1"/>
        <i x="13" s="1" nd="1"/>
        <i x="163" s="1" nd="1"/>
        <i x="15" s="1" nd="1"/>
        <i x="212" s="1" nd="1"/>
        <i x="241" s="1" nd="1"/>
        <i x="268" s="1" nd="1"/>
        <i x="19" s="1" nd="1"/>
        <i x="237" s="1" nd="1"/>
        <i x="208" s="1" nd="1"/>
        <i x="270" s="1" nd="1"/>
        <i x="23" s="1" nd="1"/>
        <i x="273" s="1" nd="1"/>
        <i x="115" s="1" nd="1"/>
        <i x="326" s="1" nd="1"/>
        <i x="331" s="1" nd="1"/>
        <i x="146" s="1" nd="1"/>
        <i x="11" s="1" nd="1"/>
        <i x="180" s="1" nd="1"/>
        <i x="171" s="1" nd="1"/>
        <i x="336" s="1" nd="1"/>
        <i x="321" s="1" nd="1"/>
        <i x="118" s="1" nd="1"/>
        <i x="0" s="1" nd="1"/>
        <i x="189" s="1" nd="1"/>
        <i x="135" s="1" nd="1"/>
        <i x="68" s="1" nd="1"/>
        <i x="194" s="1" nd="1"/>
        <i x="52" s="1" nd="1"/>
        <i x="320" s="1" nd="1"/>
        <i x="239" s="1" nd="1"/>
        <i x="240" s="1" nd="1"/>
        <i x="323" s="1" nd="1"/>
        <i x="183" s="1" nd="1"/>
        <i x="166" s="1" nd="1"/>
        <i x="50" s="1" nd="1"/>
        <i x="69" s="1" nd="1"/>
        <i x="155" s="1" nd="1"/>
        <i x="127" s="1" nd="1"/>
        <i x="256" s="1" nd="1"/>
        <i x="293" s="1" nd="1"/>
        <i x="207" s="1" nd="1"/>
        <i x="61" s="1" nd="1"/>
        <i x="95" s="1" nd="1"/>
        <i x="306" s="1" nd="1"/>
        <i x="291" s="1" nd="1"/>
        <i x="114" s="1" nd="1"/>
        <i x="301" s="1" nd="1"/>
        <i x="74" s="1" nd="1"/>
        <i x="187" s="1" nd="1"/>
        <i x="111" s="1" nd="1"/>
        <i x="314" s="1" nd="1"/>
        <i x="5" s="1" nd="1"/>
        <i x="10" s="1" nd="1"/>
        <i x="170" s="1" nd="1"/>
        <i x="300" s="1" nd="1"/>
        <i x="305" s="1" nd="1"/>
        <i x="43" s="1" nd="1"/>
        <i x="3" s="1" nd="1"/>
        <i x="94" s="1" nd="1"/>
        <i x="137" s="1" nd="1"/>
        <i x="157" s="1" nd="1"/>
        <i x="334" s="1" nd="1"/>
        <i x="316" s="1" nd="1"/>
        <i x="31" s="1" nd="1"/>
        <i x="103" s="1" nd="1"/>
        <i x="269" s="1" nd="1"/>
        <i x="169" s="1" nd="1"/>
        <i x="195" s="1" nd="1"/>
        <i x="60" s="1" nd="1"/>
        <i x="161" s="1" nd="1"/>
        <i x="277" s="1" nd="1"/>
        <i x="18" s="1" nd="1"/>
        <i x="30" s="1" nd="1"/>
        <i x="35" s="1" nd="1"/>
        <i x="8" s="1" nd="1"/>
        <i x="258" s="1" nd="1"/>
        <i x="116" s="1" nd="1"/>
        <i x="220" s="1" nd="1"/>
        <i x="257" s="1" nd="1"/>
        <i x="147" s="1" nd="1"/>
        <i x="206" s="1" nd="1"/>
        <i x="231" s="1" nd="1"/>
        <i x="246" s="1" nd="1"/>
        <i x="242" s="1" nd="1"/>
        <i x="21" s="1" nd="1"/>
        <i x="210" s="1" nd="1"/>
        <i x="168" s="1" nd="1"/>
        <i x="104" s="1" nd="1"/>
        <i x="202" s="1" nd="1"/>
        <i x="285" s="1" nd="1"/>
        <i x="288" s="1" nd="1"/>
        <i x="66" s="1" nd="1"/>
        <i x="227" s="1" nd="1"/>
        <i x="290" s="1" nd="1"/>
        <i x="7" s="1" nd="1"/>
        <i x="222" s="1" nd="1"/>
        <i x="177" s="1" nd="1"/>
        <i x="93" s="1" nd="1"/>
        <i x="45" s="1" nd="1"/>
        <i x="57" s="1" nd="1"/>
        <i x="247" s="1" nd="1"/>
        <i x="109" s="1" nd="1"/>
        <i x="228" s="1" nd="1"/>
        <i x="37" s="1" nd="1"/>
        <i x="28" s="1" nd="1"/>
        <i x="318" s="1" nd="1"/>
        <i x="82" s="1" nd="1"/>
        <i x="263" s="1" nd="1"/>
        <i x="289" s="1" nd="1"/>
        <i x="120" s="1" nd="1"/>
        <i x="185" s="1" nd="1"/>
        <i x="221" s="1" nd="1"/>
        <i x="280" s="1" nd="1"/>
        <i x="140" s="1" nd="1"/>
        <i x="279" s="1" nd="1"/>
        <i x="4" s="1" nd="1"/>
        <i x="154" s="1" nd="1"/>
        <i x="141" s="1" nd="1"/>
        <i x="134" s="1" nd="1"/>
        <i x="136" s="1" nd="1"/>
        <i x="313" s="1" nd="1"/>
        <i x="117" s="1" nd="1"/>
        <i x="128" s="1" nd="1"/>
        <i x="158" s="1" nd="1"/>
        <i x="254" s="1" nd="1"/>
        <i x="51" s="1" nd="1"/>
        <i x="234" s="1" nd="1"/>
        <i x="262" s="1" nd="1"/>
        <i x="89" s="1" nd="1"/>
        <i x="333" s="1" nd="1"/>
        <i x="196" s="1" nd="1"/>
        <i x="144" s="1" nd="1"/>
        <i x="214" s="1" nd="1"/>
        <i x="292" s="1" nd="1"/>
        <i x="34" s="1" nd="1"/>
        <i x="184" s="1" nd="1"/>
        <i x="86" s="1" nd="1"/>
        <i x="209" s="1" nd="1"/>
        <i x="328" s="1" nd="1"/>
        <i x="335" s="1" nd="1"/>
        <i x="215" s="1" nd="1"/>
        <i x="317" s="1" nd="1"/>
        <i x="284" s="1" nd="1"/>
        <i x="181" s="1" nd="1"/>
        <i x="230" s="1" nd="1"/>
        <i x="283" s="1" nd="1"/>
        <i x="138" s="1" nd="1"/>
        <i x="236" s="1" nd="1"/>
        <i x="91" s="1" nd="1"/>
        <i x="319" s="1" nd="1"/>
        <i x="167" s="1" nd="1"/>
        <i x="213" s="1" nd="1"/>
        <i x="64" s="1" nd="1"/>
        <i x="238" s="1" nd="1"/>
        <i x="249" s="1" nd="1"/>
        <i x="192" s="1" nd="1"/>
        <i x="20" s="1" nd="1"/>
        <i x="62" s="1" nd="1"/>
        <i x="54" s="1" nd="1"/>
        <i x="100" s="1" nd="1"/>
        <i x="85" s="1" nd="1"/>
        <i x="123" s="1" nd="1"/>
        <i x="53" s="1" nd="1"/>
        <i x="198" s="1" nd="1"/>
        <i x="312" s="1" nd="1"/>
        <i x="271" s="1" nd="1"/>
        <i x="245" s="1" nd="1"/>
        <i x="71" s="1" nd="1"/>
        <i x="267" s="1" nd="1"/>
        <i x="150" s="1" nd="1"/>
        <i x="22" s="1" nd="1"/>
        <i x="325" s="1" nd="1"/>
        <i x="193" s="1" nd="1"/>
        <i x="179" s="1" nd="1"/>
        <i x="2" s="1" nd="1"/>
        <i x="133" s="1" nd="1"/>
        <i x="243" s="1" nd="1"/>
        <i x="1" s="1" nd="1"/>
        <i x="102" s="1" nd="1"/>
        <i x="327" s="1" nd="1"/>
        <i x="253" s="1" nd="1"/>
        <i x="190" s="1" nd="1"/>
        <i x="126" s="1" nd="1"/>
        <i x="330" s="1" nd="1"/>
        <i x="259" s="1" nd="1"/>
        <i x="186" s="1" nd="1"/>
        <i x="174" s="1" nd="1"/>
        <i x="216" s="1" nd="1"/>
        <i x="96" s="1" nd="1"/>
        <i x="217" s="1" nd="1"/>
        <i x="303" s="1" nd="1"/>
        <i x="294" s="1" nd="1"/>
        <i x="131" s="1" nd="1"/>
        <i x="296" s="1" nd="1"/>
        <i x="275" s="1" nd="1"/>
        <i x="261" s="1" nd="1"/>
        <i x="122" s="1" nd="1"/>
        <i x="252" s="1" nd="1"/>
        <i x="72" s="1" nd="1"/>
        <i x="88" s="1" nd="1"/>
        <i x="332" s="1" nd="1"/>
        <i x="164" s="1" nd="1"/>
        <i x="132" s="1" nd="1"/>
        <i x="324" s="1" nd="1"/>
        <i x="274" s="1" nd="1"/>
        <i x="265" s="1" nd="1"/>
        <i x="153" s="1" nd="1"/>
        <i x="33" s="1" nd="1"/>
        <i x="182" s="1" nd="1"/>
        <i x="302" s="1" nd="1"/>
        <i x="235" s="1" nd="1"/>
        <i x="142" s="1" nd="1"/>
        <i x="211" s="1" nd="1"/>
        <i x="337" s="1" nd="1"/>
        <i x="99" s="1" nd="1"/>
        <i x="139" s="1" nd="1"/>
        <i x="218" s="1" nd="1"/>
        <i x="176" s="1" nd="1"/>
        <i x="229" s="1" nd="1"/>
        <i x="47" s="1" nd="1"/>
        <i x="309" s="1" nd="1"/>
        <i x="151" s="1" nd="1"/>
        <i x="205" s="1" nd="1"/>
        <i x="78" s="1" nd="1"/>
        <i x="178" s="1" nd="1"/>
        <i x="286" s="1" nd="1"/>
        <i x="297" s="1" nd="1"/>
        <i x="250" s="1" nd="1"/>
        <i x="25" s="1" nd="1"/>
        <i x="145" s="1" nd="1"/>
        <i x="59" s="1" nd="1"/>
        <i x="287" s="1" nd="1"/>
        <i x="304"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oom_Type" xr10:uid="{EC50FEF7-1759-4D65-BFDB-3433447765E5}" sourceName="Room Type">
  <pivotTables>
    <pivotTable tabId="7" name="PivotTable1"/>
  </pivotTables>
  <data>
    <tabular pivotCacheId="14046735">
      <items count="8">
        <i x="0" s="1"/>
        <i x="1" s="1"/>
        <i x="4" s="1"/>
        <i x="5" s="1"/>
        <i x="7" s="1"/>
        <i x="6" s="1"/>
        <i x="3" s="1"/>
        <i x="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otal_Bookings" xr10:uid="{2220C872-4C49-40C7-94D3-A45AF574BA78}" sourceName="Total Bookings">
  <pivotTables>
    <pivotTable tabId="7" name="PivotTable1"/>
  </pivotTables>
  <data>
    <tabular pivotCacheId="14046735">
      <items count="6">
        <i x="2" s="1"/>
        <i x="0" s="1"/>
        <i x="4" s="1"/>
        <i x="1" s="1"/>
        <i x="3" s="1"/>
        <i x="5"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Nights 1" xr10:uid="{3B060626-5C87-46C2-B36E-58C364ACA61A}" cache="Slicer_Nights" caption="Nights" startItem="2" rowHeight="234950"/>
  <slicer name="Room Type 1" xr10:uid="{A2E011A7-6C5F-4C28-A6F9-E3075596A383}" cache="Slicer_Room_Type" caption="Room Type" rowHeight="234950"/>
  <slicer name="Total Bookings 1" xr10:uid="{792BF2AA-5388-4E55-B8FB-33C5A61ACC5B}" cache="Slicer_Total_Bookings" caption="Total Bookings"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oom Type" xr10:uid="{EFAC75D9-F025-49B0-A605-FA3505965E92}" cache="Slicer_Room_Type" caption="Room Type" rowHeight="234950"/>
  <slicer name="Total Bookings" xr10:uid="{871B274A-BEA8-4785-8370-70EF2F8E3329}" cache="Slicer_Total_Bookings" caption="Total Bookings" rowHeight="2349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Nights" xr10:uid="{687F04DC-237D-47A8-883A-3BED44DE7500}" cache="Slicer_Nights" caption="Nights" rowHeight="234950"/>
  <slicer name="Room Rate ($)" xr10:uid="{88E9E5F0-D9A5-4F12-BF93-5761F6B60EB6}" cache="Slicer_Room_Rate" caption="Room Rate ($)"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HotelBookingsTable" displayName="HotelBookingsTable" ref="A1:K501" headerRowDxfId="34" dataDxfId="33" totalsRowDxfId="32">
  <tableColumns count="11">
    <tableColumn id="1" xr3:uid="{00000000-0010-0000-0000-000001000000}" name="Booking ID" dataDxfId="31"/>
    <tableColumn id="2" xr3:uid="{00000000-0010-0000-0000-000002000000}" name="Guest Name" dataDxfId="30"/>
    <tableColumn id="3" xr3:uid="{00000000-0010-0000-0000-000003000000}" name="Room Type" dataDxfId="29"/>
    <tableColumn id="4" xr3:uid="{00000000-0010-0000-0000-000004000000}" name="Booking Channel" dataDxfId="28"/>
    <tableColumn id="5" xr3:uid="{00000000-0010-0000-0000-000005000000}" name="Customer Type" dataDxfId="27"/>
    <tableColumn id="6" xr3:uid="{00000000-0010-0000-0000-000006000000}" name="Check-In Date" dataDxfId="26"/>
    <tableColumn id="7" xr3:uid="{00000000-0010-0000-0000-000007000000}" name="Nights" dataDxfId="25"/>
    <tableColumn id="8" xr3:uid="{00000000-0010-0000-0000-000008000000}" name="Guests" dataDxfId="24"/>
    <tableColumn id="9" xr3:uid="{00000000-0010-0000-0000-000009000000}" name="Room Rate ($)" dataDxfId="23"/>
    <tableColumn id="10" xr3:uid="{00000000-0010-0000-0000-00000A000000}" name="Total Revenue ($)" dataDxfId="22"/>
    <tableColumn id="11" xr3:uid="{00000000-0010-0000-0000-00000B000000}" name="Payment Status" dataDxfId="21"/>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031E7E6-8F95-496D-B44C-DE7573AD0B9F}" name="Table2" displayName="Table2" ref="A4:F12" totalsRowShown="0" headerRowDxfId="20" dataDxfId="19">
  <autoFilter ref="A4:F12" xr:uid="{7031E7E6-8F95-496D-B44C-DE7573AD0B9F}"/>
  <tableColumns count="6">
    <tableColumn id="1" xr3:uid="{7B0B3DDF-E3B8-4161-93F8-0EAA845017AF}" name="Room Type" dataDxfId="18"/>
    <tableColumn id="2" xr3:uid="{CABB37DA-D7F1-4E66-A5A5-866D8D8EC888}" name="Total Bookings" dataDxfId="17"/>
    <tableColumn id="3" xr3:uid="{043423AC-A585-4956-8B0E-044058ECE034}" name="Total Nights Occupied" dataDxfId="16"/>
    <tableColumn id="4" xr3:uid="{724726C3-845E-4C0D-A7BE-920BD6B2D119}" name="Average Daily Rate ($)" dataDxfId="15"/>
    <tableColumn id="5" xr3:uid="{74229E79-FFD9-4656-9459-5B52CE846560}" name="Total Revenue ($)" dataDxfId="14"/>
    <tableColumn id="6" xr3:uid="{BBA5932C-ACE7-4250-B0BD-439CA155A5E7}" name="% Revenue Share" dataDxfId="13"/>
  </tableColumns>
  <tableStyleInfo name="TableStyleMedium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EA3C67F7-7D22-4701-A502-5828267C0A2E}" name="Table3" displayName="Table3" ref="A16:D23" totalsRowShown="0" headerRowDxfId="12" dataDxfId="11">
  <autoFilter ref="A16:D23" xr:uid="{EA3C67F7-7D22-4701-A502-5828267C0A2E}"/>
  <tableColumns count="4">
    <tableColumn id="1" xr3:uid="{407A0506-5F8C-4E19-96C7-169CA3A18BAE}" name="Booking Channel" dataDxfId="10"/>
    <tableColumn id="2" xr3:uid="{136958CC-41EB-42A0-AD7E-CFF602F6DFEA}" name="Total Bookings" dataDxfId="9"/>
    <tableColumn id="3" xr3:uid="{A2D28A48-C02F-40B2-9A02-E47C20F102F0}" name="Total Revenue ($)" dataDxfId="8"/>
    <tableColumn id="4" xr3:uid="{3183FB7F-7922-45A5-9710-4393703A8A7D}" name="Average Revenue / Booking ($)" dataDxfId="7">
      <calculatedColumnFormula>C17/B17</calculatedColumnFormula>
    </tableColumn>
  </tableColumns>
  <tableStyleInfo name="TableStyleMedium8"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58C951D8-E5E8-489E-8EF6-F45193B0AB9B}" name="Table4" displayName="Table4" ref="A27:D31" totalsRowShown="0" headerRowDxfId="6" dataDxfId="5">
  <autoFilter ref="A27:D31" xr:uid="{58C951D8-E5E8-489E-8EF6-F45193B0AB9B}"/>
  <tableColumns count="4">
    <tableColumn id="1" xr3:uid="{958ACDA5-A7C7-44DB-B9C0-06FE76DB0702}" name="Metric Name" dataDxfId="4"/>
    <tableColumn id="2" xr3:uid="{DFE4E2D5-0B15-4FFE-B663-A92D219CD5A3}" name="Minimum Value (MIN)" dataDxfId="3"/>
    <tableColumn id="3" xr3:uid="{E333627A-86B9-47DB-9B2E-1CFACC2AA3D7}" name="Maximum Value (MAX)" dataDxfId="2"/>
    <tableColumn id="4" xr3:uid="{287D88EE-FD3A-4262-954B-E4BF02E58A98}" name="Average Value (AVERAGE)" dataDxfId="1"/>
  </tableColumns>
  <tableStyleInfo name="TableStyleMedium8"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5C29B6B6-A128-43F2-BF68-C1DBF5567B9F}" name="Table5" displayName="Table5" ref="A43:H49" totalsRowShown="0" headerRowDxfId="44" dataDxfId="43">
  <autoFilter ref="A43:H49" xr:uid="{5C29B6B6-A128-43F2-BF68-C1DBF5567B9F}"/>
  <tableColumns count="8">
    <tableColumn id="1" xr3:uid="{5AAE5340-0989-4762-82B5-DDC1B6181B9F}" name="Room Type" dataDxfId="42"/>
    <tableColumn id="2" xr3:uid="{82F914EE-5CFB-4A77-A43F-BA13E3606237}" name="Bookings" dataDxfId="41"/>
    <tableColumn id="3" xr3:uid="{A7A13808-5F28-47BD-9CA0-843EC04CB2A4}" name="Total Revenue ($)" dataDxfId="40"/>
    <tableColumn id="4" xr3:uid="{A21D16EE-174C-4C8E-BAD8-FD3A3978E3CD}" name="MIN Revenue ($)" dataDxfId="39"/>
    <tableColumn id="5" xr3:uid="{85DC3FAD-48D3-4B11-B0DA-8E0A9EC7AAAC}" name="MAX Revenue ($)" dataDxfId="38"/>
    <tableColumn id="6" xr3:uid="{363ADE20-9100-45C1-972E-9E53BF632190}" name="Channel" dataDxfId="37">
      <calculatedColumnFormula>'Pivot &amp; Summary Analysis'!A17</calculatedColumnFormula>
    </tableColumn>
    <tableColumn id="7" xr3:uid="{E28F3ED1-840E-4A3B-B562-82D47716D3C8}" name="Bookings2" dataDxfId="36">
      <calculatedColumnFormula>'Pivot &amp; Summary Analysis'!B17</calculatedColumnFormula>
    </tableColumn>
    <tableColumn id="8" xr3:uid="{7E8896DB-629F-4A5E-ACF5-8F755E4C3A29}" name="Total Revenue ($)3" dataDxfId="35">
      <calculatedColumnFormula>'Pivot &amp; Summary Analysis'!C17</calculatedColumnFormula>
    </tableColumn>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table" Target="../tables/table2.xml"/><Relationship Id="rId1" Type="http://schemas.openxmlformats.org/officeDocument/2006/relationships/printerSettings" Target="../printerSettings/printerSettings1.bin"/><Relationship Id="rId4" Type="http://schemas.openxmlformats.org/officeDocument/2006/relationships/table" Target="../tables/table4.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table" Target="../tables/table5.xml"/><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6.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K501"/>
  <sheetViews>
    <sheetView workbookViewId="0">
      <selection activeCell="D1" sqref="D1"/>
    </sheetView>
  </sheetViews>
  <sheetFormatPr defaultRowHeight="14.4" x14ac:dyDescent="0.3"/>
  <cols>
    <col min="1" max="1" width="14" customWidth="1"/>
    <col min="2" max="3" width="21" customWidth="1"/>
    <col min="4" max="4" width="19" customWidth="1"/>
    <col min="5" max="5" width="16" customWidth="1"/>
    <col min="6" max="6" width="22" customWidth="1"/>
    <col min="7" max="8" width="14" customWidth="1"/>
    <col min="9" max="9" width="16" customWidth="1"/>
    <col min="10" max="10" width="20" customWidth="1"/>
    <col min="11" max="11" width="17" customWidth="1"/>
  </cols>
  <sheetData>
    <row r="1" spans="1:11" x14ac:dyDescent="0.3">
      <c r="A1" s="8" t="s">
        <v>49</v>
      </c>
      <c r="B1" s="8" t="s">
        <v>50</v>
      </c>
      <c r="C1" s="8" t="s">
        <v>11</v>
      </c>
      <c r="D1" s="8" t="s">
        <v>32</v>
      </c>
      <c r="E1" s="8" t="s">
        <v>51</v>
      </c>
      <c r="F1" s="8" t="s">
        <v>52</v>
      </c>
      <c r="G1" s="8" t="s">
        <v>53</v>
      </c>
      <c r="H1" s="8" t="s">
        <v>54</v>
      </c>
      <c r="I1" s="8" t="s">
        <v>55</v>
      </c>
      <c r="J1" s="8" t="s">
        <v>13</v>
      </c>
      <c r="K1" s="8" t="s">
        <v>56</v>
      </c>
    </row>
    <row r="2" spans="1:11" x14ac:dyDescent="0.3">
      <c r="A2" s="8" t="s">
        <v>57</v>
      </c>
      <c r="B2" s="8" t="s">
        <v>58</v>
      </c>
      <c r="C2" s="8" t="s">
        <v>24</v>
      </c>
      <c r="D2" s="8" t="s">
        <v>38</v>
      </c>
      <c r="E2" s="8" t="s">
        <v>59</v>
      </c>
      <c r="F2" s="17">
        <v>46142</v>
      </c>
      <c r="G2" s="8">
        <v>1</v>
      </c>
      <c r="H2" s="8">
        <v>2</v>
      </c>
      <c r="I2" s="10">
        <v>257</v>
      </c>
      <c r="J2" s="10">
        <f t="shared" ref="J2:J65" si="0">G2*I2</f>
        <v>257</v>
      </c>
      <c r="K2" s="8" t="s">
        <v>60</v>
      </c>
    </row>
    <row r="3" spans="1:11" x14ac:dyDescent="0.3">
      <c r="A3" s="8" t="s">
        <v>61</v>
      </c>
      <c r="B3" s="8" t="s">
        <v>62</v>
      </c>
      <c r="C3" s="8" t="s">
        <v>26</v>
      </c>
      <c r="D3" s="8" t="s">
        <v>39</v>
      </c>
      <c r="E3" s="8" t="s">
        <v>63</v>
      </c>
      <c r="F3" s="17">
        <v>46107</v>
      </c>
      <c r="G3" s="8">
        <v>8</v>
      </c>
      <c r="H3" s="8">
        <v>1</v>
      </c>
      <c r="I3" s="10">
        <v>580</v>
      </c>
      <c r="J3" s="10">
        <f t="shared" si="0"/>
        <v>4640</v>
      </c>
      <c r="K3" s="8" t="s">
        <v>60</v>
      </c>
    </row>
    <row r="4" spans="1:11" x14ac:dyDescent="0.3">
      <c r="A4" s="8" t="s">
        <v>64</v>
      </c>
      <c r="B4" s="8" t="s">
        <v>65</v>
      </c>
      <c r="C4" s="8" t="s">
        <v>26</v>
      </c>
      <c r="D4" s="8" t="s">
        <v>38</v>
      </c>
      <c r="E4" s="8" t="s">
        <v>59</v>
      </c>
      <c r="F4" s="17">
        <v>46072</v>
      </c>
      <c r="G4" s="8">
        <v>8</v>
      </c>
      <c r="H4" s="8">
        <v>3</v>
      </c>
      <c r="I4" s="10">
        <v>572</v>
      </c>
      <c r="J4" s="10">
        <f t="shared" si="0"/>
        <v>4576</v>
      </c>
      <c r="K4" s="8" t="s">
        <v>66</v>
      </c>
    </row>
    <row r="5" spans="1:11" x14ac:dyDescent="0.3">
      <c r="A5" s="8" t="s">
        <v>67</v>
      </c>
      <c r="B5" s="8" t="s">
        <v>68</v>
      </c>
      <c r="C5" s="8" t="s">
        <v>23</v>
      </c>
      <c r="D5" s="8" t="s">
        <v>37</v>
      </c>
      <c r="E5" s="8" t="s">
        <v>69</v>
      </c>
      <c r="F5" s="17">
        <v>46100</v>
      </c>
      <c r="G5" s="8">
        <v>4</v>
      </c>
      <c r="H5" s="8">
        <v>1</v>
      </c>
      <c r="I5" s="10">
        <v>334</v>
      </c>
      <c r="J5" s="10">
        <f t="shared" si="0"/>
        <v>1336</v>
      </c>
      <c r="K5" s="8" t="s">
        <v>70</v>
      </c>
    </row>
    <row r="6" spans="1:11" x14ac:dyDescent="0.3">
      <c r="A6" s="8" t="s">
        <v>71</v>
      </c>
      <c r="B6" s="8" t="s">
        <v>72</v>
      </c>
      <c r="C6" s="8" t="s">
        <v>26</v>
      </c>
      <c r="D6" s="8" t="s">
        <v>35</v>
      </c>
      <c r="E6" s="8" t="s">
        <v>69</v>
      </c>
      <c r="F6" s="17">
        <v>46042</v>
      </c>
      <c r="G6" s="8">
        <v>7</v>
      </c>
      <c r="H6" s="8">
        <v>4</v>
      </c>
      <c r="I6" s="10">
        <v>453</v>
      </c>
      <c r="J6" s="10">
        <f t="shared" si="0"/>
        <v>3171</v>
      </c>
      <c r="K6" s="8" t="s">
        <v>66</v>
      </c>
    </row>
    <row r="7" spans="1:11" x14ac:dyDescent="0.3">
      <c r="A7" s="8" t="s">
        <v>73</v>
      </c>
      <c r="B7" s="8" t="s">
        <v>74</v>
      </c>
      <c r="C7" s="8" t="s">
        <v>23</v>
      </c>
      <c r="D7" s="8" t="s">
        <v>36</v>
      </c>
      <c r="E7" s="8" t="s">
        <v>75</v>
      </c>
      <c r="F7" s="17">
        <v>46117</v>
      </c>
      <c r="G7" s="8">
        <v>6</v>
      </c>
      <c r="H7" s="8">
        <v>1</v>
      </c>
      <c r="I7" s="10">
        <v>317</v>
      </c>
      <c r="J7" s="10">
        <f t="shared" si="0"/>
        <v>1902</v>
      </c>
      <c r="K7" s="8" t="s">
        <v>60</v>
      </c>
    </row>
    <row r="8" spans="1:11" x14ac:dyDescent="0.3">
      <c r="A8" s="8" t="s">
        <v>76</v>
      </c>
      <c r="B8" s="8" t="s">
        <v>77</v>
      </c>
      <c r="C8" s="8" t="s">
        <v>24</v>
      </c>
      <c r="D8" s="8" t="s">
        <v>36</v>
      </c>
      <c r="E8" s="8" t="s">
        <v>75</v>
      </c>
      <c r="F8" s="17">
        <v>46218</v>
      </c>
      <c r="G8" s="8">
        <v>3</v>
      </c>
      <c r="H8" s="8">
        <v>4</v>
      </c>
      <c r="I8" s="10">
        <v>267</v>
      </c>
      <c r="J8" s="10">
        <f t="shared" si="0"/>
        <v>801</v>
      </c>
      <c r="K8" s="8" t="s">
        <v>70</v>
      </c>
    </row>
    <row r="9" spans="1:11" x14ac:dyDescent="0.3">
      <c r="A9" s="8" t="s">
        <v>78</v>
      </c>
      <c r="B9" s="8" t="s">
        <v>79</v>
      </c>
      <c r="C9" s="8" t="s">
        <v>27</v>
      </c>
      <c r="D9" s="8" t="s">
        <v>37</v>
      </c>
      <c r="E9" s="8" t="s">
        <v>63</v>
      </c>
      <c r="F9" s="17">
        <v>46150</v>
      </c>
      <c r="G9" s="8">
        <v>9</v>
      </c>
      <c r="H9" s="8">
        <v>3</v>
      </c>
      <c r="I9" s="10">
        <v>396</v>
      </c>
      <c r="J9" s="10">
        <f t="shared" si="0"/>
        <v>3564</v>
      </c>
      <c r="K9" s="8" t="s">
        <v>80</v>
      </c>
    </row>
    <row r="10" spans="1:11" x14ac:dyDescent="0.3">
      <c r="A10" s="8" t="s">
        <v>81</v>
      </c>
      <c r="B10" s="8" t="s">
        <v>82</v>
      </c>
      <c r="C10" s="8" t="s">
        <v>23</v>
      </c>
      <c r="D10" s="8" t="s">
        <v>38</v>
      </c>
      <c r="E10" s="8" t="s">
        <v>59</v>
      </c>
      <c r="F10" s="17">
        <v>46159</v>
      </c>
      <c r="G10" s="8">
        <v>8</v>
      </c>
      <c r="H10" s="8">
        <v>1</v>
      </c>
      <c r="I10" s="10">
        <v>367</v>
      </c>
      <c r="J10" s="10">
        <f t="shared" si="0"/>
        <v>2936</v>
      </c>
      <c r="K10" s="8" t="s">
        <v>60</v>
      </c>
    </row>
    <row r="11" spans="1:11" x14ac:dyDescent="0.3">
      <c r="A11" s="8" t="s">
        <v>83</v>
      </c>
      <c r="B11" s="8" t="s">
        <v>84</v>
      </c>
      <c r="C11" s="8" t="s">
        <v>24</v>
      </c>
      <c r="D11" s="8" t="s">
        <v>39</v>
      </c>
      <c r="E11" s="8" t="s">
        <v>69</v>
      </c>
      <c r="F11" s="17">
        <v>46250</v>
      </c>
      <c r="G11" s="8">
        <v>3</v>
      </c>
      <c r="H11" s="8">
        <v>1</v>
      </c>
      <c r="I11" s="10">
        <v>199</v>
      </c>
      <c r="J11" s="10">
        <f t="shared" si="0"/>
        <v>597</v>
      </c>
      <c r="K11" s="8" t="s">
        <v>70</v>
      </c>
    </row>
    <row r="12" spans="1:11" x14ac:dyDescent="0.3">
      <c r="A12" s="8" t="s">
        <v>85</v>
      </c>
      <c r="B12" s="8" t="s">
        <v>86</v>
      </c>
      <c r="C12" s="8" t="s">
        <v>23</v>
      </c>
      <c r="D12" s="8" t="s">
        <v>34</v>
      </c>
      <c r="E12" s="8" t="s">
        <v>59</v>
      </c>
      <c r="F12" s="17">
        <v>46141</v>
      </c>
      <c r="G12" s="8">
        <v>1</v>
      </c>
      <c r="H12" s="8">
        <v>2</v>
      </c>
      <c r="I12" s="10">
        <v>321</v>
      </c>
      <c r="J12" s="10">
        <f t="shared" si="0"/>
        <v>321</v>
      </c>
      <c r="K12" s="8" t="s">
        <v>70</v>
      </c>
    </row>
    <row r="13" spans="1:11" x14ac:dyDescent="0.3">
      <c r="A13" s="8" t="s">
        <v>87</v>
      </c>
      <c r="B13" s="8" t="s">
        <v>88</v>
      </c>
      <c r="C13" s="8" t="s">
        <v>24</v>
      </c>
      <c r="D13" s="8" t="s">
        <v>36</v>
      </c>
      <c r="E13" s="8" t="s">
        <v>69</v>
      </c>
      <c r="F13" s="17">
        <v>46075</v>
      </c>
      <c r="G13" s="8">
        <v>7</v>
      </c>
      <c r="H13" s="8">
        <v>1</v>
      </c>
      <c r="I13" s="10">
        <v>247</v>
      </c>
      <c r="J13" s="10">
        <f t="shared" si="0"/>
        <v>1729</v>
      </c>
      <c r="K13" s="8" t="s">
        <v>70</v>
      </c>
    </row>
    <row r="14" spans="1:11" x14ac:dyDescent="0.3">
      <c r="A14" s="8" t="s">
        <v>89</v>
      </c>
      <c r="B14" s="8" t="s">
        <v>90</v>
      </c>
      <c r="C14" s="8" t="s">
        <v>25</v>
      </c>
      <c r="D14" s="8" t="s">
        <v>39</v>
      </c>
      <c r="E14" s="8" t="s">
        <v>63</v>
      </c>
      <c r="F14" s="17">
        <v>46026</v>
      </c>
      <c r="G14" s="8">
        <v>1</v>
      </c>
      <c r="H14" s="8">
        <v>4</v>
      </c>
      <c r="I14" s="10">
        <v>158</v>
      </c>
      <c r="J14" s="10">
        <f t="shared" si="0"/>
        <v>158</v>
      </c>
      <c r="K14" s="8" t="s">
        <v>80</v>
      </c>
    </row>
    <row r="15" spans="1:11" x14ac:dyDescent="0.3">
      <c r="A15" s="8" t="s">
        <v>91</v>
      </c>
      <c r="B15" s="8" t="s">
        <v>92</v>
      </c>
      <c r="C15" s="8" t="s">
        <v>24</v>
      </c>
      <c r="D15" s="8" t="s">
        <v>36</v>
      </c>
      <c r="E15" s="8" t="s">
        <v>69</v>
      </c>
      <c r="F15" s="17">
        <v>46192</v>
      </c>
      <c r="G15" s="8">
        <v>4</v>
      </c>
      <c r="H15" s="8">
        <v>3</v>
      </c>
      <c r="I15" s="10">
        <v>222</v>
      </c>
      <c r="J15" s="10">
        <f t="shared" si="0"/>
        <v>888</v>
      </c>
      <c r="K15" s="8" t="s">
        <v>80</v>
      </c>
    </row>
    <row r="16" spans="1:11" x14ac:dyDescent="0.3">
      <c r="A16" s="8" t="s">
        <v>93</v>
      </c>
      <c r="B16" s="8" t="s">
        <v>94</v>
      </c>
      <c r="C16" s="8" t="s">
        <v>25</v>
      </c>
      <c r="D16" s="8" t="s">
        <v>36</v>
      </c>
      <c r="E16" s="8" t="s">
        <v>59</v>
      </c>
      <c r="F16" s="17">
        <v>46251</v>
      </c>
      <c r="G16" s="8">
        <v>7</v>
      </c>
      <c r="H16" s="8">
        <v>4</v>
      </c>
      <c r="I16" s="10">
        <v>106</v>
      </c>
      <c r="J16" s="10">
        <f t="shared" si="0"/>
        <v>742</v>
      </c>
      <c r="K16" s="8" t="s">
        <v>60</v>
      </c>
    </row>
    <row r="17" spans="1:11" x14ac:dyDescent="0.3">
      <c r="A17" s="8" t="s">
        <v>95</v>
      </c>
      <c r="B17" s="8" t="s">
        <v>96</v>
      </c>
      <c r="C17" s="8" t="s">
        <v>24</v>
      </c>
      <c r="D17" s="8" t="s">
        <v>35</v>
      </c>
      <c r="E17" s="8" t="s">
        <v>75</v>
      </c>
      <c r="F17" s="17">
        <v>46060</v>
      </c>
      <c r="G17" s="8">
        <v>6</v>
      </c>
      <c r="H17" s="8">
        <v>1</v>
      </c>
      <c r="I17" s="10">
        <v>227</v>
      </c>
      <c r="J17" s="10">
        <f t="shared" si="0"/>
        <v>1362</v>
      </c>
      <c r="K17" s="8" t="s">
        <v>80</v>
      </c>
    </row>
    <row r="18" spans="1:11" x14ac:dyDescent="0.3">
      <c r="A18" s="8" t="s">
        <v>97</v>
      </c>
      <c r="B18" s="8" t="s">
        <v>98</v>
      </c>
      <c r="C18" s="8" t="s">
        <v>24</v>
      </c>
      <c r="D18" s="8" t="s">
        <v>39</v>
      </c>
      <c r="E18" s="8" t="s">
        <v>59</v>
      </c>
      <c r="F18" s="17">
        <v>46154</v>
      </c>
      <c r="G18" s="8">
        <v>9</v>
      </c>
      <c r="H18" s="8">
        <v>2</v>
      </c>
      <c r="I18" s="10">
        <v>196</v>
      </c>
      <c r="J18" s="10">
        <f t="shared" si="0"/>
        <v>1764</v>
      </c>
      <c r="K18" s="8" t="s">
        <v>66</v>
      </c>
    </row>
    <row r="19" spans="1:11" x14ac:dyDescent="0.3">
      <c r="A19" s="8" t="s">
        <v>99</v>
      </c>
      <c r="B19" s="8" t="s">
        <v>100</v>
      </c>
      <c r="C19" s="8" t="s">
        <v>25</v>
      </c>
      <c r="D19" s="8" t="s">
        <v>36</v>
      </c>
      <c r="E19" s="8" t="s">
        <v>59</v>
      </c>
      <c r="F19" s="17">
        <v>46211</v>
      </c>
      <c r="G19" s="8">
        <v>5</v>
      </c>
      <c r="H19" s="8">
        <v>2</v>
      </c>
      <c r="I19" s="10">
        <v>155</v>
      </c>
      <c r="J19" s="10">
        <f t="shared" si="0"/>
        <v>775</v>
      </c>
      <c r="K19" s="8" t="s">
        <v>60</v>
      </c>
    </row>
    <row r="20" spans="1:11" x14ac:dyDescent="0.3">
      <c r="A20" s="8" t="s">
        <v>101</v>
      </c>
      <c r="B20" s="8" t="s">
        <v>102</v>
      </c>
      <c r="C20" s="8" t="s">
        <v>23</v>
      </c>
      <c r="D20" s="8" t="s">
        <v>35</v>
      </c>
      <c r="E20" s="8" t="s">
        <v>75</v>
      </c>
      <c r="F20" s="17">
        <v>46171</v>
      </c>
      <c r="G20" s="8">
        <v>6</v>
      </c>
      <c r="H20" s="8">
        <v>4</v>
      </c>
      <c r="I20" s="10">
        <v>362</v>
      </c>
      <c r="J20" s="10">
        <f t="shared" si="0"/>
        <v>2172</v>
      </c>
      <c r="K20" s="8" t="s">
        <v>80</v>
      </c>
    </row>
    <row r="21" spans="1:11" x14ac:dyDescent="0.3">
      <c r="A21" s="8" t="s">
        <v>103</v>
      </c>
      <c r="B21" s="8" t="s">
        <v>104</v>
      </c>
      <c r="C21" s="8" t="s">
        <v>24</v>
      </c>
      <c r="D21" s="8" t="s">
        <v>34</v>
      </c>
      <c r="E21" s="8" t="s">
        <v>69</v>
      </c>
      <c r="F21" s="17">
        <v>46181</v>
      </c>
      <c r="G21" s="8">
        <v>1</v>
      </c>
      <c r="H21" s="8">
        <v>1</v>
      </c>
      <c r="I21" s="10">
        <v>232</v>
      </c>
      <c r="J21" s="10">
        <f t="shared" si="0"/>
        <v>232</v>
      </c>
      <c r="K21" s="8" t="s">
        <v>66</v>
      </c>
    </row>
    <row r="22" spans="1:11" x14ac:dyDescent="0.3">
      <c r="A22" s="8" t="s">
        <v>105</v>
      </c>
      <c r="B22" s="8" t="s">
        <v>106</v>
      </c>
      <c r="C22" s="8" t="s">
        <v>27</v>
      </c>
      <c r="D22" s="8" t="s">
        <v>35</v>
      </c>
      <c r="E22" s="8" t="s">
        <v>69</v>
      </c>
      <c r="F22" s="17">
        <v>46214</v>
      </c>
      <c r="G22" s="8">
        <v>1</v>
      </c>
      <c r="H22" s="8">
        <v>1</v>
      </c>
      <c r="I22" s="10">
        <v>527</v>
      </c>
      <c r="J22" s="10">
        <f t="shared" si="0"/>
        <v>527</v>
      </c>
      <c r="K22" s="8" t="s">
        <v>70</v>
      </c>
    </row>
    <row r="23" spans="1:11" x14ac:dyDescent="0.3">
      <c r="A23" s="8" t="s">
        <v>107</v>
      </c>
      <c r="B23" s="8" t="s">
        <v>108</v>
      </c>
      <c r="C23" s="8" t="s">
        <v>23</v>
      </c>
      <c r="D23" s="8" t="s">
        <v>39</v>
      </c>
      <c r="E23" s="8" t="s">
        <v>75</v>
      </c>
      <c r="F23" s="17">
        <v>46182</v>
      </c>
      <c r="G23" s="8">
        <v>8</v>
      </c>
      <c r="H23" s="8">
        <v>3</v>
      </c>
      <c r="I23" s="10">
        <v>383</v>
      </c>
      <c r="J23" s="10">
        <f t="shared" si="0"/>
        <v>3064</v>
      </c>
      <c r="K23" s="8" t="s">
        <v>80</v>
      </c>
    </row>
    <row r="24" spans="1:11" x14ac:dyDescent="0.3">
      <c r="A24" s="8" t="s">
        <v>109</v>
      </c>
      <c r="B24" s="8" t="s">
        <v>110</v>
      </c>
      <c r="C24" s="8" t="s">
        <v>26</v>
      </c>
      <c r="D24" s="8" t="s">
        <v>34</v>
      </c>
      <c r="E24" s="8" t="s">
        <v>59</v>
      </c>
      <c r="F24" s="17">
        <v>46024</v>
      </c>
      <c r="G24" s="8">
        <v>4</v>
      </c>
      <c r="H24" s="8">
        <v>3</v>
      </c>
      <c r="I24" s="10">
        <v>560</v>
      </c>
      <c r="J24" s="10">
        <f t="shared" si="0"/>
        <v>2240</v>
      </c>
      <c r="K24" s="8" t="s">
        <v>80</v>
      </c>
    </row>
    <row r="25" spans="1:11" x14ac:dyDescent="0.3">
      <c r="A25" s="8" t="s">
        <v>111</v>
      </c>
      <c r="B25" s="8" t="s">
        <v>112</v>
      </c>
      <c r="C25" s="8" t="s">
        <v>24</v>
      </c>
      <c r="D25" s="8" t="s">
        <v>39</v>
      </c>
      <c r="E25" s="8" t="s">
        <v>63</v>
      </c>
      <c r="F25" s="17">
        <v>46067</v>
      </c>
      <c r="G25" s="8">
        <v>10</v>
      </c>
      <c r="H25" s="8">
        <v>2</v>
      </c>
      <c r="I25" s="10">
        <v>237</v>
      </c>
      <c r="J25" s="10">
        <f t="shared" si="0"/>
        <v>2370</v>
      </c>
      <c r="K25" s="8" t="s">
        <v>60</v>
      </c>
    </row>
    <row r="26" spans="1:11" x14ac:dyDescent="0.3">
      <c r="A26" s="8" t="s">
        <v>113</v>
      </c>
      <c r="B26" s="8" t="s">
        <v>114</v>
      </c>
      <c r="C26" s="8" t="s">
        <v>27</v>
      </c>
      <c r="D26" s="8" t="s">
        <v>39</v>
      </c>
      <c r="E26" s="8" t="s">
        <v>63</v>
      </c>
      <c r="F26" s="17">
        <v>46049</v>
      </c>
      <c r="G26" s="8">
        <v>10</v>
      </c>
      <c r="H26" s="8">
        <v>1</v>
      </c>
      <c r="I26" s="10">
        <v>435</v>
      </c>
      <c r="J26" s="10">
        <f t="shared" si="0"/>
        <v>4350</v>
      </c>
      <c r="K26" s="8" t="s">
        <v>60</v>
      </c>
    </row>
    <row r="27" spans="1:11" x14ac:dyDescent="0.3">
      <c r="A27" s="8" t="s">
        <v>115</v>
      </c>
      <c r="B27" s="8" t="s">
        <v>108</v>
      </c>
      <c r="C27" s="8" t="s">
        <v>26</v>
      </c>
      <c r="D27" s="8" t="s">
        <v>35</v>
      </c>
      <c r="E27" s="8" t="s">
        <v>75</v>
      </c>
      <c r="F27" s="17">
        <v>46051</v>
      </c>
      <c r="G27" s="8">
        <v>1</v>
      </c>
      <c r="H27" s="8">
        <v>4</v>
      </c>
      <c r="I27" s="10">
        <v>742</v>
      </c>
      <c r="J27" s="10">
        <f t="shared" si="0"/>
        <v>742</v>
      </c>
      <c r="K27" s="8" t="s">
        <v>80</v>
      </c>
    </row>
    <row r="28" spans="1:11" x14ac:dyDescent="0.3">
      <c r="A28" s="8" t="s">
        <v>116</v>
      </c>
      <c r="B28" s="8" t="s">
        <v>117</v>
      </c>
      <c r="C28" s="8" t="s">
        <v>24</v>
      </c>
      <c r="D28" s="8" t="s">
        <v>39</v>
      </c>
      <c r="E28" s="8" t="s">
        <v>75</v>
      </c>
      <c r="F28" s="17">
        <v>46052</v>
      </c>
      <c r="G28" s="8">
        <v>5</v>
      </c>
      <c r="H28" s="8">
        <v>1</v>
      </c>
      <c r="I28" s="10">
        <v>192</v>
      </c>
      <c r="J28" s="10">
        <f t="shared" si="0"/>
        <v>960</v>
      </c>
      <c r="K28" s="8" t="s">
        <v>70</v>
      </c>
    </row>
    <row r="29" spans="1:11" x14ac:dyDescent="0.3">
      <c r="A29" s="8" t="s">
        <v>118</v>
      </c>
      <c r="B29" s="8" t="s">
        <v>119</v>
      </c>
      <c r="C29" s="8" t="s">
        <v>24</v>
      </c>
      <c r="D29" s="8" t="s">
        <v>39</v>
      </c>
      <c r="E29" s="8" t="s">
        <v>69</v>
      </c>
      <c r="F29" s="17">
        <v>46190</v>
      </c>
      <c r="G29" s="8">
        <v>9</v>
      </c>
      <c r="H29" s="8">
        <v>4</v>
      </c>
      <c r="I29" s="10">
        <v>199</v>
      </c>
      <c r="J29" s="10">
        <f t="shared" si="0"/>
        <v>1791</v>
      </c>
      <c r="K29" s="8" t="s">
        <v>70</v>
      </c>
    </row>
    <row r="30" spans="1:11" x14ac:dyDescent="0.3">
      <c r="A30" s="8" t="s">
        <v>120</v>
      </c>
      <c r="B30" s="8" t="s">
        <v>121</v>
      </c>
      <c r="C30" s="8" t="s">
        <v>24</v>
      </c>
      <c r="D30" s="8" t="s">
        <v>36</v>
      </c>
      <c r="E30" s="8" t="s">
        <v>69</v>
      </c>
      <c r="F30" s="17">
        <v>46252</v>
      </c>
      <c r="G30" s="8">
        <v>4</v>
      </c>
      <c r="H30" s="8">
        <v>4</v>
      </c>
      <c r="I30" s="10">
        <v>211</v>
      </c>
      <c r="J30" s="10">
        <f t="shared" si="0"/>
        <v>844</v>
      </c>
      <c r="K30" s="8" t="s">
        <v>60</v>
      </c>
    </row>
    <row r="31" spans="1:11" x14ac:dyDescent="0.3">
      <c r="A31" s="8" t="s">
        <v>122</v>
      </c>
      <c r="B31" s="8" t="s">
        <v>123</v>
      </c>
      <c r="C31" s="8" t="s">
        <v>27</v>
      </c>
      <c r="D31" s="8" t="s">
        <v>35</v>
      </c>
      <c r="E31" s="8" t="s">
        <v>69</v>
      </c>
      <c r="F31" s="17">
        <v>46135</v>
      </c>
      <c r="G31" s="8">
        <v>8</v>
      </c>
      <c r="H31" s="8">
        <v>2</v>
      </c>
      <c r="I31" s="10">
        <v>420</v>
      </c>
      <c r="J31" s="10">
        <f t="shared" si="0"/>
        <v>3360</v>
      </c>
      <c r="K31" s="8" t="s">
        <v>80</v>
      </c>
    </row>
    <row r="32" spans="1:11" x14ac:dyDescent="0.3">
      <c r="A32" s="8" t="s">
        <v>124</v>
      </c>
      <c r="B32" s="8" t="s">
        <v>125</v>
      </c>
      <c r="C32" s="8" t="s">
        <v>24</v>
      </c>
      <c r="D32" s="8" t="s">
        <v>36</v>
      </c>
      <c r="E32" s="8" t="s">
        <v>75</v>
      </c>
      <c r="F32" s="17">
        <v>46080</v>
      </c>
      <c r="G32" s="8">
        <v>5</v>
      </c>
      <c r="H32" s="8">
        <v>3</v>
      </c>
      <c r="I32" s="10">
        <v>184</v>
      </c>
      <c r="J32" s="10">
        <f t="shared" si="0"/>
        <v>920</v>
      </c>
      <c r="K32" s="8" t="s">
        <v>66</v>
      </c>
    </row>
    <row r="33" spans="1:11" x14ac:dyDescent="0.3">
      <c r="A33" s="8" t="s">
        <v>126</v>
      </c>
      <c r="B33" s="8" t="s">
        <v>127</v>
      </c>
      <c r="C33" s="8" t="s">
        <v>27</v>
      </c>
      <c r="D33" s="8" t="s">
        <v>39</v>
      </c>
      <c r="E33" s="8" t="s">
        <v>59</v>
      </c>
      <c r="F33" s="17">
        <v>46221</v>
      </c>
      <c r="G33" s="8">
        <v>8</v>
      </c>
      <c r="H33" s="8">
        <v>3</v>
      </c>
      <c r="I33" s="10">
        <v>364</v>
      </c>
      <c r="J33" s="10">
        <f t="shared" si="0"/>
        <v>2912</v>
      </c>
      <c r="K33" s="8" t="s">
        <v>66</v>
      </c>
    </row>
    <row r="34" spans="1:11" x14ac:dyDescent="0.3">
      <c r="A34" s="8" t="s">
        <v>128</v>
      </c>
      <c r="B34" s="8" t="s">
        <v>106</v>
      </c>
      <c r="C34" s="8" t="s">
        <v>23</v>
      </c>
      <c r="D34" s="8" t="s">
        <v>35</v>
      </c>
      <c r="E34" s="8" t="s">
        <v>75</v>
      </c>
      <c r="F34" s="17">
        <v>46118</v>
      </c>
      <c r="G34" s="8">
        <v>8</v>
      </c>
      <c r="H34" s="8">
        <v>1</v>
      </c>
      <c r="I34" s="10">
        <v>348</v>
      </c>
      <c r="J34" s="10">
        <f t="shared" si="0"/>
        <v>2784</v>
      </c>
      <c r="K34" s="8" t="s">
        <v>80</v>
      </c>
    </row>
    <row r="35" spans="1:11" x14ac:dyDescent="0.3">
      <c r="A35" s="8" t="s">
        <v>129</v>
      </c>
      <c r="B35" s="8" t="s">
        <v>130</v>
      </c>
      <c r="C35" s="8" t="s">
        <v>24</v>
      </c>
      <c r="D35" s="8" t="s">
        <v>34</v>
      </c>
      <c r="E35" s="8" t="s">
        <v>69</v>
      </c>
      <c r="F35" s="17">
        <v>46055</v>
      </c>
      <c r="G35" s="8">
        <v>8</v>
      </c>
      <c r="H35" s="8">
        <v>4</v>
      </c>
      <c r="I35" s="10">
        <v>193</v>
      </c>
      <c r="J35" s="10">
        <f t="shared" si="0"/>
        <v>1544</v>
      </c>
      <c r="K35" s="8" t="s">
        <v>60</v>
      </c>
    </row>
    <row r="36" spans="1:11" x14ac:dyDescent="0.3">
      <c r="A36" s="8" t="s">
        <v>131</v>
      </c>
      <c r="B36" s="8" t="s">
        <v>132</v>
      </c>
      <c r="C36" s="8" t="s">
        <v>26</v>
      </c>
      <c r="D36" s="8" t="s">
        <v>36</v>
      </c>
      <c r="E36" s="8" t="s">
        <v>59</v>
      </c>
      <c r="F36" s="17">
        <v>46233</v>
      </c>
      <c r="G36" s="8">
        <v>4</v>
      </c>
      <c r="H36" s="8">
        <v>3</v>
      </c>
      <c r="I36" s="10">
        <v>653</v>
      </c>
      <c r="J36" s="10">
        <f t="shared" si="0"/>
        <v>2612</v>
      </c>
      <c r="K36" s="8" t="s">
        <v>60</v>
      </c>
    </row>
    <row r="37" spans="1:11" x14ac:dyDescent="0.3">
      <c r="A37" s="8" t="s">
        <v>133</v>
      </c>
      <c r="B37" s="8" t="s">
        <v>134</v>
      </c>
      <c r="C37" s="8" t="s">
        <v>27</v>
      </c>
      <c r="D37" s="8" t="s">
        <v>39</v>
      </c>
      <c r="E37" s="8" t="s">
        <v>69</v>
      </c>
      <c r="F37" s="17">
        <v>46099</v>
      </c>
      <c r="G37" s="8">
        <v>4</v>
      </c>
      <c r="H37" s="8">
        <v>4</v>
      </c>
      <c r="I37" s="10">
        <v>484</v>
      </c>
      <c r="J37" s="10">
        <f t="shared" si="0"/>
        <v>1936</v>
      </c>
      <c r="K37" s="8" t="s">
        <v>80</v>
      </c>
    </row>
    <row r="38" spans="1:11" x14ac:dyDescent="0.3">
      <c r="A38" s="8" t="s">
        <v>135</v>
      </c>
      <c r="B38" s="8" t="s">
        <v>136</v>
      </c>
      <c r="C38" s="8" t="s">
        <v>23</v>
      </c>
      <c r="D38" s="8" t="s">
        <v>39</v>
      </c>
      <c r="E38" s="8" t="s">
        <v>75</v>
      </c>
      <c r="F38" s="17">
        <v>46215</v>
      </c>
      <c r="G38" s="8">
        <v>8</v>
      </c>
      <c r="H38" s="8">
        <v>3</v>
      </c>
      <c r="I38" s="10">
        <v>366</v>
      </c>
      <c r="J38" s="10">
        <f t="shared" si="0"/>
        <v>2928</v>
      </c>
      <c r="K38" s="8" t="s">
        <v>70</v>
      </c>
    </row>
    <row r="39" spans="1:11" x14ac:dyDescent="0.3">
      <c r="A39" s="8" t="s">
        <v>137</v>
      </c>
      <c r="B39" s="8" t="s">
        <v>138</v>
      </c>
      <c r="C39" s="8" t="s">
        <v>24</v>
      </c>
      <c r="D39" s="8" t="s">
        <v>36</v>
      </c>
      <c r="E39" s="8" t="s">
        <v>69</v>
      </c>
      <c r="F39" s="17">
        <v>46085</v>
      </c>
      <c r="G39" s="8">
        <v>3</v>
      </c>
      <c r="H39" s="8">
        <v>4</v>
      </c>
      <c r="I39" s="10">
        <v>275</v>
      </c>
      <c r="J39" s="10">
        <f t="shared" si="0"/>
        <v>825</v>
      </c>
      <c r="K39" s="8" t="s">
        <v>80</v>
      </c>
    </row>
    <row r="40" spans="1:11" x14ac:dyDescent="0.3">
      <c r="A40" s="8" t="s">
        <v>139</v>
      </c>
      <c r="B40" s="8" t="s">
        <v>140</v>
      </c>
      <c r="C40" s="8" t="s">
        <v>27</v>
      </c>
      <c r="D40" s="8" t="s">
        <v>37</v>
      </c>
      <c r="E40" s="8" t="s">
        <v>75</v>
      </c>
      <c r="F40" s="17">
        <v>46161</v>
      </c>
      <c r="G40" s="8">
        <v>1</v>
      </c>
      <c r="H40" s="8">
        <v>4</v>
      </c>
      <c r="I40" s="10">
        <v>419</v>
      </c>
      <c r="J40" s="10">
        <f t="shared" si="0"/>
        <v>419</v>
      </c>
      <c r="K40" s="8" t="s">
        <v>70</v>
      </c>
    </row>
    <row r="41" spans="1:11" x14ac:dyDescent="0.3">
      <c r="A41" s="8" t="s">
        <v>141</v>
      </c>
      <c r="B41" s="8" t="s">
        <v>142</v>
      </c>
      <c r="C41" s="8" t="s">
        <v>24</v>
      </c>
      <c r="D41" s="8" t="s">
        <v>34</v>
      </c>
      <c r="E41" s="8" t="s">
        <v>63</v>
      </c>
      <c r="F41" s="17">
        <v>46244</v>
      </c>
      <c r="G41" s="8">
        <v>9</v>
      </c>
      <c r="H41" s="8">
        <v>4</v>
      </c>
      <c r="I41" s="10">
        <v>274</v>
      </c>
      <c r="J41" s="10">
        <f t="shared" si="0"/>
        <v>2466</v>
      </c>
      <c r="K41" s="8" t="s">
        <v>66</v>
      </c>
    </row>
    <row r="42" spans="1:11" x14ac:dyDescent="0.3">
      <c r="A42" s="8" t="s">
        <v>143</v>
      </c>
      <c r="B42" s="8" t="s">
        <v>134</v>
      </c>
      <c r="C42" s="8" t="s">
        <v>23</v>
      </c>
      <c r="D42" s="8" t="s">
        <v>36</v>
      </c>
      <c r="E42" s="8" t="s">
        <v>75</v>
      </c>
      <c r="F42" s="17">
        <v>46026</v>
      </c>
      <c r="G42" s="8">
        <v>3</v>
      </c>
      <c r="H42" s="8">
        <v>3</v>
      </c>
      <c r="I42" s="10">
        <v>290</v>
      </c>
      <c r="J42" s="10">
        <f t="shared" si="0"/>
        <v>870</v>
      </c>
      <c r="K42" s="8" t="s">
        <v>60</v>
      </c>
    </row>
    <row r="43" spans="1:11" x14ac:dyDescent="0.3">
      <c r="A43" s="8" t="s">
        <v>144</v>
      </c>
      <c r="B43" s="8" t="s">
        <v>145</v>
      </c>
      <c r="C43" s="8" t="s">
        <v>25</v>
      </c>
      <c r="D43" s="8" t="s">
        <v>38</v>
      </c>
      <c r="E43" s="8" t="s">
        <v>63</v>
      </c>
      <c r="F43" s="17">
        <v>46164</v>
      </c>
      <c r="G43" s="8">
        <v>10</v>
      </c>
      <c r="H43" s="8">
        <v>1</v>
      </c>
      <c r="I43" s="10">
        <v>124</v>
      </c>
      <c r="J43" s="10">
        <f t="shared" si="0"/>
        <v>1240</v>
      </c>
      <c r="K43" s="8" t="s">
        <v>60</v>
      </c>
    </row>
    <row r="44" spans="1:11" x14ac:dyDescent="0.3">
      <c r="A44" s="8" t="s">
        <v>146</v>
      </c>
      <c r="B44" s="8" t="s">
        <v>136</v>
      </c>
      <c r="C44" s="8" t="s">
        <v>24</v>
      </c>
      <c r="D44" s="8" t="s">
        <v>37</v>
      </c>
      <c r="E44" s="8" t="s">
        <v>75</v>
      </c>
      <c r="F44" s="17">
        <v>46178</v>
      </c>
      <c r="G44" s="8">
        <v>3</v>
      </c>
      <c r="H44" s="8">
        <v>4</v>
      </c>
      <c r="I44" s="10">
        <v>243</v>
      </c>
      <c r="J44" s="10">
        <f t="shared" si="0"/>
        <v>729</v>
      </c>
      <c r="K44" s="8" t="s">
        <v>70</v>
      </c>
    </row>
    <row r="45" spans="1:11" x14ac:dyDescent="0.3">
      <c r="A45" s="8" t="s">
        <v>147</v>
      </c>
      <c r="B45" s="8" t="s">
        <v>148</v>
      </c>
      <c r="C45" s="8" t="s">
        <v>24</v>
      </c>
      <c r="D45" s="8" t="s">
        <v>35</v>
      </c>
      <c r="E45" s="8" t="s">
        <v>69</v>
      </c>
      <c r="F45" s="17">
        <v>46131</v>
      </c>
      <c r="G45" s="8">
        <v>8</v>
      </c>
      <c r="H45" s="8">
        <v>1</v>
      </c>
      <c r="I45" s="10">
        <v>201</v>
      </c>
      <c r="J45" s="10">
        <f t="shared" si="0"/>
        <v>1608</v>
      </c>
      <c r="K45" s="8" t="s">
        <v>70</v>
      </c>
    </row>
    <row r="46" spans="1:11" x14ac:dyDescent="0.3">
      <c r="A46" s="8" t="s">
        <v>149</v>
      </c>
      <c r="B46" s="8" t="s">
        <v>125</v>
      </c>
      <c r="C46" s="8" t="s">
        <v>23</v>
      </c>
      <c r="D46" s="8" t="s">
        <v>38</v>
      </c>
      <c r="E46" s="8" t="s">
        <v>59</v>
      </c>
      <c r="F46" s="17">
        <v>46068</v>
      </c>
      <c r="G46" s="8">
        <v>1</v>
      </c>
      <c r="H46" s="8">
        <v>1</v>
      </c>
      <c r="I46" s="10">
        <v>332</v>
      </c>
      <c r="J46" s="10">
        <f t="shared" si="0"/>
        <v>332</v>
      </c>
      <c r="K46" s="8" t="s">
        <v>80</v>
      </c>
    </row>
    <row r="47" spans="1:11" x14ac:dyDescent="0.3">
      <c r="A47" s="8" t="s">
        <v>150</v>
      </c>
      <c r="B47" s="8" t="s">
        <v>127</v>
      </c>
      <c r="C47" s="8" t="s">
        <v>24</v>
      </c>
      <c r="D47" s="8" t="s">
        <v>39</v>
      </c>
      <c r="E47" s="8" t="s">
        <v>63</v>
      </c>
      <c r="F47" s="17">
        <v>46207</v>
      </c>
      <c r="G47" s="8">
        <v>7</v>
      </c>
      <c r="H47" s="8">
        <v>2</v>
      </c>
      <c r="I47" s="10">
        <v>261</v>
      </c>
      <c r="J47" s="10">
        <f t="shared" si="0"/>
        <v>1827</v>
      </c>
      <c r="K47" s="8" t="s">
        <v>60</v>
      </c>
    </row>
    <row r="48" spans="1:11" x14ac:dyDescent="0.3">
      <c r="A48" s="8" t="s">
        <v>151</v>
      </c>
      <c r="B48" s="8" t="s">
        <v>152</v>
      </c>
      <c r="C48" s="8" t="s">
        <v>27</v>
      </c>
      <c r="D48" s="8" t="s">
        <v>36</v>
      </c>
      <c r="E48" s="8" t="s">
        <v>59</v>
      </c>
      <c r="F48" s="17">
        <v>46249</v>
      </c>
      <c r="G48" s="8">
        <v>7</v>
      </c>
      <c r="H48" s="8">
        <v>3</v>
      </c>
      <c r="I48" s="10">
        <v>407</v>
      </c>
      <c r="J48" s="10">
        <f t="shared" si="0"/>
        <v>2849</v>
      </c>
      <c r="K48" s="8" t="s">
        <v>70</v>
      </c>
    </row>
    <row r="49" spans="1:11" x14ac:dyDescent="0.3">
      <c r="A49" s="8" t="s">
        <v>153</v>
      </c>
      <c r="B49" s="8" t="s">
        <v>154</v>
      </c>
      <c r="C49" s="8" t="s">
        <v>27</v>
      </c>
      <c r="D49" s="8" t="s">
        <v>37</v>
      </c>
      <c r="E49" s="8" t="s">
        <v>63</v>
      </c>
      <c r="F49" s="17">
        <v>46192</v>
      </c>
      <c r="G49" s="8">
        <v>3</v>
      </c>
      <c r="H49" s="8">
        <v>1</v>
      </c>
      <c r="I49" s="10">
        <v>446</v>
      </c>
      <c r="J49" s="10">
        <f t="shared" si="0"/>
        <v>1338</v>
      </c>
      <c r="K49" s="8" t="s">
        <v>80</v>
      </c>
    </row>
    <row r="50" spans="1:11" x14ac:dyDescent="0.3">
      <c r="A50" s="8" t="s">
        <v>155</v>
      </c>
      <c r="B50" s="8" t="s">
        <v>156</v>
      </c>
      <c r="C50" s="8" t="s">
        <v>24</v>
      </c>
      <c r="D50" s="8" t="s">
        <v>36</v>
      </c>
      <c r="E50" s="8" t="s">
        <v>63</v>
      </c>
      <c r="F50" s="17">
        <v>46137</v>
      </c>
      <c r="G50" s="8">
        <v>8</v>
      </c>
      <c r="H50" s="8">
        <v>2</v>
      </c>
      <c r="I50" s="10">
        <v>196</v>
      </c>
      <c r="J50" s="10">
        <f t="shared" si="0"/>
        <v>1568</v>
      </c>
      <c r="K50" s="8" t="s">
        <v>80</v>
      </c>
    </row>
    <row r="51" spans="1:11" x14ac:dyDescent="0.3">
      <c r="A51" s="8" t="s">
        <v>157</v>
      </c>
      <c r="B51" s="8" t="s">
        <v>158</v>
      </c>
      <c r="C51" s="8" t="s">
        <v>26</v>
      </c>
      <c r="D51" s="8" t="s">
        <v>34</v>
      </c>
      <c r="E51" s="8" t="s">
        <v>59</v>
      </c>
      <c r="F51" s="17">
        <v>46067</v>
      </c>
      <c r="G51" s="8">
        <v>10</v>
      </c>
      <c r="H51" s="8">
        <v>2</v>
      </c>
      <c r="I51" s="10">
        <v>706</v>
      </c>
      <c r="J51" s="10">
        <f t="shared" si="0"/>
        <v>7060</v>
      </c>
      <c r="K51" s="8" t="s">
        <v>66</v>
      </c>
    </row>
    <row r="52" spans="1:11" x14ac:dyDescent="0.3">
      <c r="A52" s="8" t="s">
        <v>159</v>
      </c>
      <c r="B52" s="8" t="s">
        <v>160</v>
      </c>
      <c r="C52" s="8" t="s">
        <v>27</v>
      </c>
      <c r="D52" s="8" t="s">
        <v>36</v>
      </c>
      <c r="E52" s="8" t="s">
        <v>75</v>
      </c>
      <c r="F52" s="17">
        <v>46198</v>
      </c>
      <c r="G52" s="8">
        <v>3</v>
      </c>
      <c r="H52" s="8">
        <v>2</v>
      </c>
      <c r="I52" s="10">
        <v>492</v>
      </c>
      <c r="J52" s="10">
        <f t="shared" si="0"/>
        <v>1476</v>
      </c>
      <c r="K52" s="8" t="s">
        <v>70</v>
      </c>
    </row>
    <row r="53" spans="1:11" x14ac:dyDescent="0.3">
      <c r="A53" s="8" t="s">
        <v>161</v>
      </c>
      <c r="B53" s="8" t="s">
        <v>162</v>
      </c>
      <c r="C53" s="8" t="s">
        <v>24</v>
      </c>
      <c r="D53" s="8" t="s">
        <v>34</v>
      </c>
      <c r="E53" s="8" t="s">
        <v>69</v>
      </c>
      <c r="F53" s="17">
        <v>46116</v>
      </c>
      <c r="G53" s="8">
        <v>9</v>
      </c>
      <c r="H53" s="8">
        <v>2</v>
      </c>
      <c r="I53" s="10">
        <v>262</v>
      </c>
      <c r="J53" s="10">
        <f t="shared" si="0"/>
        <v>2358</v>
      </c>
      <c r="K53" s="8" t="s">
        <v>66</v>
      </c>
    </row>
    <row r="54" spans="1:11" x14ac:dyDescent="0.3">
      <c r="A54" s="8" t="s">
        <v>163</v>
      </c>
      <c r="B54" s="8" t="s">
        <v>164</v>
      </c>
      <c r="C54" s="8" t="s">
        <v>24</v>
      </c>
      <c r="D54" s="8" t="s">
        <v>36</v>
      </c>
      <c r="E54" s="8" t="s">
        <v>63</v>
      </c>
      <c r="F54" s="17">
        <v>46026</v>
      </c>
      <c r="G54" s="8">
        <v>8</v>
      </c>
      <c r="H54" s="8">
        <v>4</v>
      </c>
      <c r="I54" s="10">
        <v>277</v>
      </c>
      <c r="J54" s="10">
        <f t="shared" si="0"/>
        <v>2216</v>
      </c>
      <c r="K54" s="8" t="s">
        <v>60</v>
      </c>
    </row>
    <row r="55" spans="1:11" x14ac:dyDescent="0.3">
      <c r="A55" s="8" t="s">
        <v>165</v>
      </c>
      <c r="B55" s="8" t="s">
        <v>166</v>
      </c>
      <c r="C55" s="8" t="s">
        <v>26</v>
      </c>
      <c r="D55" s="8" t="s">
        <v>36</v>
      </c>
      <c r="E55" s="8" t="s">
        <v>75</v>
      </c>
      <c r="F55" s="17">
        <v>46130</v>
      </c>
      <c r="G55" s="8">
        <v>8</v>
      </c>
      <c r="H55" s="8">
        <v>3</v>
      </c>
      <c r="I55" s="10">
        <v>469</v>
      </c>
      <c r="J55" s="10">
        <f t="shared" si="0"/>
        <v>3752</v>
      </c>
      <c r="K55" s="8" t="s">
        <v>70</v>
      </c>
    </row>
    <row r="56" spans="1:11" x14ac:dyDescent="0.3">
      <c r="A56" s="8" t="s">
        <v>167</v>
      </c>
      <c r="B56" s="8" t="s">
        <v>168</v>
      </c>
      <c r="C56" s="8" t="s">
        <v>23</v>
      </c>
      <c r="D56" s="8" t="s">
        <v>36</v>
      </c>
      <c r="E56" s="8" t="s">
        <v>59</v>
      </c>
      <c r="F56" s="17">
        <v>46169</v>
      </c>
      <c r="G56" s="8">
        <v>6</v>
      </c>
      <c r="H56" s="8">
        <v>1</v>
      </c>
      <c r="I56" s="10">
        <v>264</v>
      </c>
      <c r="J56" s="10">
        <f t="shared" si="0"/>
        <v>1584</v>
      </c>
      <c r="K56" s="8" t="s">
        <v>80</v>
      </c>
    </row>
    <row r="57" spans="1:11" x14ac:dyDescent="0.3">
      <c r="A57" s="8" t="s">
        <v>169</v>
      </c>
      <c r="B57" s="8" t="s">
        <v>170</v>
      </c>
      <c r="C57" s="8" t="s">
        <v>26</v>
      </c>
      <c r="D57" s="8" t="s">
        <v>37</v>
      </c>
      <c r="E57" s="8" t="s">
        <v>59</v>
      </c>
      <c r="F57" s="17">
        <v>46080</v>
      </c>
      <c r="G57" s="8">
        <v>5</v>
      </c>
      <c r="H57" s="8">
        <v>2</v>
      </c>
      <c r="I57" s="10">
        <v>539</v>
      </c>
      <c r="J57" s="10">
        <f t="shared" si="0"/>
        <v>2695</v>
      </c>
      <c r="K57" s="8" t="s">
        <v>60</v>
      </c>
    </row>
    <row r="58" spans="1:11" x14ac:dyDescent="0.3">
      <c r="A58" s="8" t="s">
        <v>171</v>
      </c>
      <c r="B58" s="8" t="s">
        <v>94</v>
      </c>
      <c r="C58" s="8" t="s">
        <v>27</v>
      </c>
      <c r="D58" s="8" t="s">
        <v>38</v>
      </c>
      <c r="E58" s="8" t="s">
        <v>59</v>
      </c>
      <c r="F58" s="17">
        <v>46091</v>
      </c>
      <c r="G58" s="8">
        <v>10</v>
      </c>
      <c r="H58" s="8">
        <v>1</v>
      </c>
      <c r="I58" s="10">
        <v>531</v>
      </c>
      <c r="J58" s="10">
        <f t="shared" si="0"/>
        <v>5310</v>
      </c>
      <c r="K58" s="8" t="s">
        <v>60</v>
      </c>
    </row>
    <row r="59" spans="1:11" x14ac:dyDescent="0.3">
      <c r="A59" s="8" t="s">
        <v>172</v>
      </c>
      <c r="B59" s="8" t="s">
        <v>173</v>
      </c>
      <c r="C59" s="8" t="s">
        <v>27</v>
      </c>
      <c r="D59" s="8" t="s">
        <v>34</v>
      </c>
      <c r="E59" s="8" t="s">
        <v>63</v>
      </c>
      <c r="F59" s="17">
        <v>46179</v>
      </c>
      <c r="G59" s="8">
        <v>7</v>
      </c>
      <c r="H59" s="8">
        <v>3</v>
      </c>
      <c r="I59" s="10">
        <v>502</v>
      </c>
      <c r="J59" s="10">
        <f t="shared" si="0"/>
        <v>3514</v>
      </c>
      <c r="K59" s="8" t="s">
        <v>70</v>
      </c>
    </row>
    <row r="60" spans="1:11" x14ac:dyDescent="0.3">
      <c r="A60" s="8" t="s">
        <v>174</v>
      </c>
      <c r="B60" s="8" t="s">
        <v>175</v>
      </c>
      <c r="C60" s="8" t="s">
        <v>25</v>
      </c>
      <c r="D60" s="8" t="s">
        <v>39</v>
      </c>
      <c r="E60" s="8" t="s">
        <v>63</v>
      </c>
      <c r="F60" s="17">
        <v>46129</v>
      </c>
      <c r="G60" s="8">
        <v>9</v>
      </c>
      <c r="H60" s="8">
        <v>2</v>
      </c>
      <c r="I60" s="10">
        <v>155</v>
      </c>
      <c r="J60" s="10">
        <f t="shared" si="0"/>
        <v>1395</v>
      </c>
      <c r="K60" s="8" t="s">
        <v>80</v>
      </c>
    </row>
    <row r="61" spans="1:11" x14ac:dyDescent="0.3">
      <c r="A61" s="8" t="s">
        <v>176</v>
      </c>
      <c r="B61" s="8" t="s">
        <v>177</v>
      </c>
      <c r="C61" s="8" t="s">
        <v>25</v>
      </c>
      <c r="D61" s="8" t="s">
        <v>35</v>
      </c>
      <c r="E61" s="8" t="s">
        <v>63</v>
      </c>
      <c r="F61" s="17">
        <v>46217</v>
      </c>
      <c r="G61" s="8">
        <v>6</v>
      </c>
      <c r="H61" s="8">
        <v>2</v>
      </c>
      <c r="I61" s="10">
        <v>109</v>
      </c>
      <c r="J61" s="10">
        <f t="shared" si="0"/>
        <v>654</v>
      </c>
      <c r="K61" s="8" t="s">
        <v>70</v>
      </c>
    </row>
    <row r="62" spans="1:11" x14ac:dyDescent="0.3">
      <c r="A62" s="8" t="s">
        <v>178</v>
      </c>
      <c r="B62" s="8" t="s">
        <v>88</v>
      </c>
      <c r="C62" s="8" t="s">
        <v>27</v>
      </c>
      <c r="D62" s="8" t="s">
        <v>36</v>
      </c>
      <c r="E62" s="8" t="s">
        <v>63</v>
      </c>
      <c r="F62" s="17">
        <v>46111</v>
      </c>
      <c r="G62" s="8">
        <v>1</v>
      </c>
      <c r="H62" s="8">
        <v>2</v>
      </c>
      <c r="I62" s="10">
        <v>411</v>
      </c>
      <c r="J62" s="10">
        <f t="shared" si="0"/>
        <v>411</v>
      </c>
      <c r="K62" s="8" t="s">
        <v>80</v>
      </c>
    </row>
    <row r="63" spans="1:11" x14ac:dyDescent="0.3">
      <c r="A63" s="8" t="s">
        <v>179</v>
      </c>
      <c r="B63" s="8" t="s">
        <v>180</v>
      </c>
      <c r="C63" s="8" t="s">
        <v>25</v>
      </c>
      <c r="D63" s="8" t="s">
        <v>39</v>
      </c>
      <c r="E63" s="8" t="s">
        <v>69</v>
      </c>
      <c r="F63" s="17">
        <v>46044</v>
      </c>
      <c r="G63" s="8">
        <v>8</v>
      </c>
      <c r="H63" s="8">
        <v>3</v>
      </c>
      <c r="I63" s="10">
        <v>112</v>
      </c>
      <c r="J63" s="10">
        <f t="shared" si="0"/>
        <v>896</v>
      </c>
      <c r="K63" s="8" t="s">
        <v>66</v>
      </c>
    </row>
    <row r="64" spans="1:11" x14ac:dyDescent="0.3">
      <c r="A64" s="8" t="s">
        <v>181</v>
      </c>
      <c r="B64" s="8" t="s">
        <v>182</v>
      </c>
      <c r="C64" s="8" t="s">
        <v>26</v>
      </c>
      <c r="D64" s="8" t="s">
        <v>37</v>
      </c>
      <c r="E64" s="8" t="s">
        <v>59</v>
      </c>
      <c r="F64" s="17">
        <v>46209</v>
      </c>
      <c r="G64" s="8">
        <v>7</v>
      </c>
      <c r="H64" s="8">
        <v>1</v>
      </c>
      <c r="I64" s="10">
        <v>744</v>
      </c>
      <c r="J64" s="10">
        <f t="shared" si="0"/>
        <v>5208</v>
      </c>
      <c r="K64" s="8" t="s">
        <v>80</v>
      </c>
    </row>
    <row r="65" spans="1:11" x14ac:dyDescent="0.3">
      <c r="A65" s="8" t="s">
        <v>183</v>
      </c>
      <c r="B65" s="8" t="s">
        <v>154</v>
      </c>
      <c r="C65" s="8" t="s">
        <v>27</v>
      </c>
      <c r="D65" s="8" t="s">
        <v>37</v>
      </c>
      <c r="E65" s="8" t="s">
        <v>75</v>
      </c>
      <c r="F65" s="17">
        <v>46130</v>
      </c>
      <c r="G65" s="8">
        <v>4</v>
      </c>
      <c r="H65" s="8">
        <v>2</v>
      </c>
      <c r="I65" s="10">
        <v>355</v>
      </c>
      <c r="J65" s="10">
        <f t="shared" si="0"/>
        <v>1420</v>
      </c>
      <c r="K65" s="8" t="s">
        <v>60</v>
      </c>
    </row>
    <row r="66" spans="1:11" x14ac:dyDescent="0.3">
      <c r="A66" s="8" t="s">
        <v>184</v>
      </c>
      <c r="B66" s="8" t="s">
        <v>185</v>
      </c>
      <c r="C66" s="8" t="s">
        <v>23</v>
      </c>
      <c r="D66" s="8" t="s">
        <v>34</v>
      </c>
      <c r="E66" s="8" t="s">
        <v>63</v>
      </c>
      <c r="F66" s="17">
        <v>46157</v>
      </c>
      <c r="G66" s="8">
        <v>10</v>
      </c>
      <c r="H66" s="8">
        <v>3</v>
      </c>
      <c r="I66" s="10">
        <v>298</v>
      </c>
      <c r="J66" s="10">
        <f t="shared" ref="J66:J129" si="1">G66*I66</f>
        <v>2980</v>
      </c>
      <c r="K66" s="8" t="s">
        <v>66</v>
      </c>
    </row>
    <row r="67" spans="1:11" x14ac:dyDescent="0.3">
      <c r="A67" s="8" t="s">
        <v>186</v>
      </c>
      <c r="B67" s="8" t="s">
        <v>182</v>
      </c>
      <c r="C67" s="8" t="s">
        <v>26</v>
      </c>
      <c r="D67" s="8" t="s">
        <v>34</v>
      </c>
      <c r="E67" s="8" t="s">
        <v>63</v>
      </c>
      <c r="F67" s="17">
        <v>46243</v>
      </c>
      <c r="G67" s="8">
        <v>5</v>
      </c>
      <c r="H67" s="8">
        <v>3</v>
      </c>
      <c r="I67" s="10">
        <v>530</v>
      </c>
      <c r="J67" s="10">
        <f t="shared" si="1"/>
        <v>2650</v>
      </c>
      <c r="K67" s="8" t="s">
        <v>80</v>
      </c>
    </row>
    <row r="68" spans="1:11" x14ac:dyDescent="0.3">
      <c r="A68" s="8" t="s">
        <v>187</v>
      </c>
      <c r="B68" s="8" t="s">
        <v>188</v>
      </c>
      <c r="C68" s="8" t="s">
        <v>27</v>
      </c>
      <c r="D68" s="8" t="s">
        <v>39</v>
      </c>
      <c r="E68" s="8" t="s">
        <v>59</v>
      </c>
      <c r="F68" s="17">
        <v>46033</v>
      </c>
      <c r="G68" s="8">
        <v>3</v>
      </c>
      <c r="H68" s="8">
        <v>3</v>
      </c>
      <c r="I68" s="10">
        <v>505</v>
      </c>
      <c r="J68" s="10">
        <f t="shared" si="1"/>
        <v>1515</v>
      </c>
      <c r="K68" s="8" t="s">
        <v>80</v>
      </c>
    </row>
    <row r="69" spans="1:11" x14ac:dyDescent="0.3">
      <c r="A69" s="8" t="s">
        <v>189</v>
      </c>
      <c r="B69" s="8" t="s">
        <v>190</v>
      </c>
      <c r="C69" s="8" t="s">
        <v>24</v>
      </c>
      <c r="D69" s="8" t="s">
        <v>37</v>
      </c>
      <c r="E69" s="8" t="s">
        <v>75</v>
      </c>
      <c r="F69" s="17">
        <v>46249</v>
      </c>
      <c r="G69" s="8">
        <v>9</v>
      </c>
      <c r="H69" s="8">
        <v>2</v>
      </c>
      <c r="I69" s="10">
        <v>196</v>
      </c>
      <c r="J69" s="10">
        <f t="shared" si="1"/>
        <v>1764</v>
      </c>
      <c r="K69" s="8" t="s">
        <v>60</v>
      </c>
    </row>
    <row r="70" spans="1:11" x14ac:dyDescent="0.3">
      <c r="A70" s="8" t="s">
        <v>191</v>
      </c>
      <c r="B70" s="8" t="s">
        <v>192</v>
      </c>
      <c r="C70" s="8" t="s">
        <v>26</v>
      </c>
      <c r="D70" s="8" t="s">
        <v>35</v>
      </c>
      <c r="E70" s="8" t="s">
        <v>69</v>
      </c>
      <c r="F70" s="17">
        <v>46068</v>
      </c>
      <c r="G70" s="8">
        <v>7</v>
      </c>
      <c r="H70" s="8">
        <v>3</v>
      </c>
      <c r="I70" s="10">
        <v>706</v>
      </c>
      <c r="J70" s="10">
        <f t="shared" si="1"/>
        <v>4942</v>
      </c>
      <c r="K70" s="8" t="s">
        <v>80</v>
      </c>
    </row>
    <row r="71" spans="1:11" x14ac:dyDescent="0.3">
      <c r="A71" s="8" t="s">
        <v>193</v>
      </c>
      <c r="B71" s="8" t="s">
        <v>194</v>
      </c>
      <c r="C71" s="8" t="s">
        <v>27</v>
      </c>
      <c r="D71" s="8" t="s">
        <v>34</v>
      </c>
      <c r="E71" s="8" t="s">
        <v>69</v>
      </c>
      <c r="F71" s="17">
        <v>46061</v>
      </c>
      <c r="G71" s="8">
        <v>9</v>
      </c>
      <c r="H71" s="8">
        <v>4</v>
      </c>
      <c r="I71" s="10">
        <v>520</v>
      </c>
      <c r="J71" s="10">
        <f t="shared" si="1"/>
        <v>4680</v>
      </c>
      <c r="K71" s="8" t="s">
        <v>60</v>
      </c>
    </row>
    <row r="72" spans="1:11" x14ac:dyDescent="0.3">
      <c r="A72" s="8" t="s">
        <v>195</v>
      </c>
      <c r="B72" s="8" t="s">
        <v>196</v>
      </c>
      <c r="C72" s="8" t="s">
        <v>25</v>
      </c>
      <c r="D72" s="8" t="s">
        <v>38</v>
      </c>
      <c r="E72" s="8" t="s">
        <v>69</v>
      </c>
      <c r="F72" s="17">
        <v>46204</v>
      </c>
      <c r="G72" s="8">
        <v>2</v>
      </c>
      <c r="H72" s="8">
        <v>2</v>
      </c>
      <c r="I72" s="10">
        <v>113</v>
      </c>
      <c r="J72" s="10">
        <f t="shared" si="1"/>
        <v>226</v>
      </c>
      <c r="K72" s="8" t="s">
        <v>66</v>
      </c>
    </row>
    <row r="73" spans="1:11" x14ac:dyDescent="0.3">
      <c r="A73" s="8" t="s">
        <v>197</v>
      </c>
      <c r="B73" s="8" t="s">
        <v>198</v>
      </c>
      <c r="C73" s="8" t="s">
        <v>24</v>
      </c>
      <c r="D73" s="8" t="s">
        <v>34</v>
      </c>
      <c r="E73" s="8" t="s">
        <v>75</v>
      </c>
      <c r="F73" s="17">
        <v>46056</v>
      </c>
      <c r="G73" s="8">
        <v>5</v>
      </c>
      <c r="H73" s="8">
        <v>2</v>
      </c>
      <c r="I73" s="10">
        <v>222</v>
      </c>
      <c r="J73" s="10">
        <f t="shared" si="1"/>
        <v>1110</v>
      </c>
      <c r="K73" s="8" t="s">
        <v>60</v>
      </c>
    </row>
    <row r="74" spans="1:11" x14ac:dyDescent="0.3">
      <c r="A74" s="8" t="s">
        <v>199</v>
      </c>
      <c r="B74" s="8" t="s">
        <v>192</v>
      </c>
      <c r="C74" s="8" t="s">
        <v>23</v>
      </c>
      <c r="D74" s="8" t="s">
        <v>34</v>
      </c>
      <c r="E74" s="8" t="s">
        <v>63</v>
      </c>
      <c r="F74" s="17">
        <v>46179</v>
      </c>
      <c r="G74" s="8">
        <v>4</v>
      </c>
      <c r="H74" s="8">
        <v>4</v>
      </c>
      <c r="I74" s="10">
        <v>392</v>
      </c>
      <c r="J74" s="10">
        <f t="shared" si="1"/>
        <v>1568</v>
      </c>
      <c r="K74" s="8" t="s">
        <v>66</v>
      </c>
    </row>
    <row r="75" spans="1:11" x14ac:dyDescent="0.3">
      <c r="A75" s="8" t="s">
        <v>200</v>
      </c>
      <c r="B75" s="8" t="s">
        <v>201</v>
      </c>
      <c r="C75" s="8" t="s">
        <v>25</v>
      </c>
      <c r="D75" s="8" t="s">
        <v>34</v>
      </c>
      <c r="E75" s="8" t="s">
        <v>63</v>
      </c>
      <c r="F75" s="17">
        <v>46104</v>
      </c>
      <c r="G75" s="8">
        <v>5</v>
      </c>
      <c r="H75" s="8">
        <v>2</v>
      </c>
      <c r="I75" s="10">
        <v>106</v>
      </c>
      <c r="J75" s="10">
        <f t="shared" si="1"/>
        <v>530</v>
      </c>
      <c r="K75" s="8" t="s">
        <v>66</v>
      </c>
    </row>
    <row r="76" spans="1:11" x14ac:dyDescent="0.3">
      <c r="A76" s="8" t="s">
        <v>202</v>
      </c>
      <c r="B76" s="8" t="s">
        <v>203</v>
      </c>
      <c r="C76" s="8" t="s">
        <v>25</v>
      </c>
      <c r="D76" s="8" t="s">
        <v>38</v>
      </c>
      <c r="E76" s="8" t="s">
        <v>75</v>
      </c>
      <c r="F76" s="17">
        <v>46227</v>
      </c>
      <c r="G76" s="8">
        <v>1</v>
      </c>
      <c r="H76" s="8">
        <v>1</v>
      </c>
      <c r="I76" s="10">
        <v>115</v>
      </c>
      <c r="J76" s="10">
        <f t="shared" si="1"/>
        <v>115</v>
      </c>
      <c r="K76" s="8" t="s">
        <v>80</v>
      </c>
    </row>
    <row r="77" spans="1:11" x14ac:dyDescent="0.3">
      <c r="A77" s="8" t="s">
        <v>204</v>
      </c>
      <c r="B77" s="8" t="s">
        <v>205</v>
      </c>
      <c r="C77" s="8" t="s">
        <v>24</v>
      </c>
      <c r="D77" s="8" t="s">
        <v>39</v>
      </c>
      <c r="E77" s="8" t="s">
        <v>69</v>
      </c>
      <c r="F77" s="17">
        <v>46242</v>
      </c>
      <c r="G77" s="8">
        <v>5</v>
      </c>
      <c r="H77" s="8">
        <v>1</v>
      </c>
      <c r="I77" s="10">
        <v>260</v>
      </c>
      <c r="J77" s="10">
        <f t="shared" si="1"/>
        <v>1300</v>
      </c>
      <c r="K77" s="8" t="s">
        <v>80</v>
      </c>
    </row>
    <row r="78" spans="1:11" x14ac:dyDescent="0.3">
      <c r="A78" s="8" t="s">
        <v>206</v>
      </c>
      <c r="B78" s="8" t="s">
        <v>207</v>
      </c>
      <c r="C78" s="8" t="s">
        <v>24</v>
      </c>
      <c r="D78" s="8" t="s">
        <v>39</v>
      </c>
      <c r="E78" s="8" t="s">
        <v>75</v>
      </c>
      <c r="F78" s="17">
        <v>46150</v>
      </c>
      <c r="G78" s="8">
        <v>7</v>
      </c>
      <c r="H78" s="8">
        <v>3</v>
      </c>
      <c r="I78" s="10">
        <v>278</v>
      </c>
      <c r="J78" s="10">
        <f t="shared" si="1"/>
        <v>1946</v>
      </c>
      <c r="K78" s="8" t="s">
        <v>80</v>
      </c>
    </row>
    <row r="79" spans="1:11" x14ac:dyDescent="0.3">
      <c r="A79" s="8" t="s">
        <v>208</v>
      </c>
      <c r="B79" s="8" t="s">
        <v>209</v>
      </c>
      <c r="C79" s="8" t="s">
        <v>25</v>
      </c>
      <c r="D79" s="8" t="s">
        <v>35</v>
      </c>
      <c r="E79" s="8" t="s">
        <v>59</v>
      </c>
      <c r="F79" s="17">
        <v>46231</v>
      </c>
      <c r="G79" s="8">
        <v>8</v>
      </c>
      <c r="H79" s="8">
        <v>2</v>
      </c>
      <c r="I79" s="10">
        <v>141</v>
      </c>
      <c r="J79" s="10">
        <f t="shared" si="1"/>
        <v>1128</v>
      </c>
      <c r="K79" s="8" t="s">
        <v>60</v>
      </c>
    </row>
    <row r="80" spans="1:11" x14ac:dyDescent="0.3">
      <c r="A80" s="8" t="s">
        <v>210</v>
      </c>
      <c r="B80" s="8" t="s">
        <v>211</v>
      </c>
      <c r="C80" s="8" t="s">
        <v>26</v>
      </c>
      <c r="D80" s="8" t="s">
        <v>37</v>
      </c>
      <c r="E80" s="8" t="s">
        <v>59</v>
      </c>
      <c r="F80" s="17">
        <v>46192</v>
      </c>
      <c r="G80" s="8">
        <v>1</v>
      </c>
      <c r="H80" s="8">
        <v>2</v>
      </c>
      <c r="I80" s="10">
        <v>550</v>
      </c>
      <c r="J80" s="10">
        <f t="shared" si="1"/>
        <v>550</v>
      </c>
      <c r="K80" s="8" t="s">
        <v>80</v>
      </c>
    </row>
    <row r="81" spans="1:11" x14ac:dyDescent="0.3">
      <c r="A81" s="8" t="s">
        <v>212</v>
      </c>
      <c r="B81" s="8" t="s">
        <v>110</v>
      </c>
      <c r="C81" s="8" t="s">
        <v>26</v>
      </c>
      <c r="D81" s="8" t="s">
        <v>36</v>
      </c>
      <c r="E81" s="8" t="s">
        <v>59</v>
      </c>
      <c r="F81" s="17">
        <v>46051</v>
      </c>
      <c r="G81" s="8">
        <v>8</v>
      </c>
      <c r="H81" s="8">
        <v>3</v>
      </c>
      <c r="I81" s="10">
        <v>631</v>
      </c>
      <c r="J81" s="10">
        <f t="shared" si="1"/>
        <v>5048</v>
      </c>
      <c r="K81" s="8" t="s">
        <v>70</v>
      </c>
    </row>
    <row r="82" spans="1:11" x14ac:dyDescent="0.3">
      <c r="A82" s="8" t="s">
        <v>213</v>
      </c>
      <c r="B82" s="8" t="s">
        <v>117</v>
      </c>
      <c r="C82" s="8" t="s">
        <v>24</v>
      </c>
      <c r="D82" s="8" t="s">
        <v>37</v>
      </c>
      <c r="E82" s="8" t="s">
        <v>59</v>
      </c>
      <c r="F82" s="17">
        <v>46075</v>
      </c>
      <c r="G82" s="8">
        <v>10</v>
      </c>
      <c r="H82" s="8">
        <v>3</v>
      </c>
      <c r="I82" s="10">
        <v>182</v>
      </c>
      <c r="J82" s="10">
        <f t="shared" si="1"/>
        <v>1820</v>
      </c>
      <c r="K82" s="8" t="s">
        <v>60</v>
      </c>
    </row>
    <row r="83" spans="1:11" x14ac:dyDescent="0.3">
      <c r="A83" s="8" t="s">
        <v>214</v>
      </c>
      <c r="B83" s="8" t="s">
        <v>215</v>
      </c>
      <c r="C83" s="8" t="s">
        <v>23</v>
      </c>
      <c r="D83" s="8" t="s">
        <v>37</v>
      </c>
      <c r="E83" s="8" t="s">
        <v>69</v>
      </c>
      <c r="F83" s="17">
        <v>46068</v>
      </c>
      <c r="G83" s="8">
        <v>6</v>
      </c>
      <c r="H83" s="8">
        <v>3</v>
      </c>
      <c r="I83" s="10">
        <v>310</v>
      </c>
      <c r="J83" s="10">
        <f t="shared" si="1"/>
        <v>1860</v>
      </c>
      <c r="K83" s="8" t="s">
        <v>80</v>
      </c>
    </row>
    <row r="84" spans="1:11" x14ac:dyDescent="0.3">
      <c r="A84" s="8" t="s">
        <v>216</v>
      </c>
      <c r="B84" s="8" t="s">
        <v>217</v>
      </c>
      <c r="C84" s="8" t="s">
        <v>25</v>
      </c>
      <c r="D84" s="8" t="s">
        <v>35</v>
      </c>
      <c r="E84" s="8" t="s">
        <v>69</v>
      </c>
      <c r="F84" s="17">
        <v>46155</v>
      </c>
      <c r="G84" s="8">
        <v>2</v>
      </c>
      <c r="H84" s="8">
        <v>3</v>
      </c>
      <c r="I84" s="10">
        <v>122</v>
      </c>
      <c r="J84" s="10">
        <f t="shared" si="1"/>
        <v>244</v>
      </c>
      <c r="K84" s="8" t="s">
        <v>66</v>
      </c>
    </row>
    <row r="85" spans="1:11" x14ac:dyDescent="0.3">
      <c r="A85" s="8" t="s">
        <v>218</v>
      </c>
      <c r="B85" s="8" t="s">
        <v>219</v>
      </c>
      <c r="C85" s="8" t="s">
        <v>25</v>
      </c>
      <c r="D85" s="8" t="s">
        <v>35</v>
      </c>
      <c r="E85" s="8" t="s">
        <v>69</v>
      </c>
      <c r="F85" s="17">
        <v>46229</v>
      </c>
      <c r="G85" s="8">
        <v>10</v>
      </c>
      <c r="H85" s="8">
        <v>3</v>
      </c>
      <c r="I85" s="10">
        <v>168</v>
      </c>
      <c r="J85" s="10">
        <f t="shared" si="1"/>
        <v>1680</v>
      </c>
      <c r="K85" s="8" t="s">
        <v>80</v>
      </c>
    </row>
    <row r="86" spans="1:11" x14ac:dyDescent="0.3">
      <c r="A86" s="8" t="s">
        <v>220</v>
      </c>
      <c r="B86" s="8" t="s">
        <v>96</v>
      </c>
      <c r="C86" s="8" t="s">
        <v>25</v>
      </c>
      <c r="D86" s="8" t="s">
        <v>39</v>
      </c>
      <c r="E86" s="8" t="s">
        <v>63</v>
      </c>
      <c r="F86" s="17">
        <v>46169</v>
      </c>
      <c r="G86" s="8">
        <v>9</v>
      </c>
      <c r="H86" s="8">
        <v>1</v>
      </c>
      <c r="I86" s="10">
        <v>123</v>
      </c>
      <c r="J86" s="10">
        <f t="shared" si="1"/>
        <v>1107</v>
      </c>
      <c r="K86" s="8" t="s">
        <v>66</v>
      </c>
    </row>
    <row r="87" spans="1:11" x14ac:dyDescent="0.3">
      <c r="A87" s="8" t="s">
        <v>221</v>
      </c>
      <c r="B87" s="8" t="s">
        <v>222</v>
      </c>
      <c r="C87" s="8" t="s">
        <v>23</v>
      </c>
      <c r="D87" s="8" t="s">
        <v>36</v>
      </c>
      <c r="E87" s="8" t="s">
        <v>59</v>
      </c>
      <c r="F87" s="17">
        <v>46220</v>
      </c>
      <c r="G87" s="8">
        <v>5</v>
      </c>
      <c r="H87" s="8">
        <v>4</v>
      </c>
      <c r="I87" s="10">
        <v>267</v>
      </c>
      <c r="J87" s="10">
        <f t="shared" si="1"/>
        <v>1335</v>
      </c>
      <c r="K87" s="8" t="s">
        <v>60</v>
      </c>
    </row>
    <row r="88" spans="1:11" x14ac:dyDescent="0.3">
      <c r="A88" s="8" t="s">
        <v>223</v>
      </c>
      <c r="B88" s="8" t="s">
        <v>224</v>
      </c>
      <c r="C88" s="8" t="s">
        <v>26</v>
      </c>
      <c r="D88" s="8" t="s">
        <v>39</v>
      </c>
      <c r="E88" s="8" t="s">
        <v>69</v>
      </c>
      <c r="F88" s="17">
        <v>46061</v>
      </c>
      <c r="G88" s="8">
        <v>4</v>
      </c>
      <c r="H88" s="8">
        <v>3</v>
      </c>
      <c r="I88" s="10">
        <v>729</v>
      </c>
      <c r="J88" s="10">
        <f t="shared" si="1"/>
        <v>2916</v>
      </c>
      <c r="K88" s="8" t="s">
        <v>66</v>
      </c>
    </row>
    <row r="89" spans="1:11" x14ac:dyDescent="0.3">
      <c r="A89" s="8" t="s">
        <v>225</v>
      </c>
      <c r="B89" s="8" t="s">
        <v>226</v>
      </c>
      <c r="C89" s="8" t="s">
        <v>27</v>
      </c>
      <c r="D89" s="8" t="s">
        <v>39</v>
      </c>
      <c r="E89" s="8" t="s">
        <v>59</v>
      </c>
      <c r="F89" s="17">
        <v>46199</v>
      </c>
      <c r="G89" s="8">
        <v>3</v>
      </c>
      <c r="H89" s="8">
        <v>4</v>
      </c>
      <c r="I89" s="10">
        <v>474</v>
      </c>
      <c r="J89" s="10">
        <f t="shared" si="1"/>
        <v>1422</v>
      </c>
      <c r="K89" s="8" t="s">
        <v>80</v>
      </c>
    </row>
    <row r="90" spans="1:11" x14ac:dyDescent="0.3">
      <c r="A90" s="8" t="s">
        <v>227</v>
      </c>
      <c r="B90" s="8" t="s">
        <v>228</v>
      </c>
      <c r="C90" s="8" t="s">
        <v>25</v>
      </c>
      <c r="D90" s="8" t="s">
        <v>37</v>
      </c>
      <c r="E90" s="8" t="s">
        <v>69</v>
      </c>
      <c r="F90" s="17">
        <v>46230</v>
      </c>
      <c r="G90" s="8">
        <v>2</v>
      </c>
      <c r="H90" s="8">
        <v>1</v>
      </c>
      <c r="I90" s="10">
        <v>135</v>
      </c>
      <c r="J90" s="10">
        <f t="shared" si="1"/>
        <v>270</v>
      </c>
      <c r="K90" s="8" t="s">
        <v>66</v>
      </c>
    </row>
    <row r="91" spans="1:11" x14ac:dyDescent="0.3">
      <c r="A91" s="8" t="s">
        <v>229</v>
      </c>
      <c r="B91" s="8" t="s">
        <v>230</v>
      </c>
      <c r="C91" s="8" t="s">
        <v>25</v>
      </c>
      <c r="D91" s="8" t="s">
        <v>39</v>
      </c>
      <c r="E91" s="8" t="s">
        <v>69</v>
      </c>
      <c r="F91" s="17">
        <v>46206</v>
      </c>
      <c r="G91" s="8">
        <v>3</v>
      </c>
      <c r="H91" s="8">
        <v>3</v>
      </c>
      <c r="I91" s="10">
        <v>116</v>
      </c>
      <c r="J91" s="10">
        <f t="shared" si="1"/>
        <v>348</v>
      </c>
      <c r="K91" s="8" t="s">
        <v>80</v>
      </c>
    </row>
    <row r="92" spans="1:11" x14ac:dyDescent="0.3">
      <c r="A92" s="8" t="s">
        <v>231</v>
      </c>
      <c r="B92" s="8" t="s">
        <v>232</v>
      </c>
      <c r="C92" s="8" t="s">
        <v>27</v>
      </c>
      <c r="D92" s="8" t="s">
        <v>38</v>
      </c>
      <c r="E92" s="8" t="s">
        <v>69</v>
      </c>
      <c r="F92" s="17">
        <v>46214</v>
      </c>
      <c r="G92" s="8">
        <v>8</v>
      </c>
      <c r="H92" s="8">
        <v>3</v>
      </c>
      <c r="I92" s="10">
        <v>428</v>
      </c>
      <c r="J92" s="10">
        <f t="shared" si="1"/>
        <v>3424</v>
      </c>
      <c r="K92" s="8" t="s">
        <v>80</v>
      </c>
    </row>
    <row r="93" spans="1:11" x14ac:dyDescent="0.3">
      <c r="A93" s="8" t="s">
        <v>233</v>
      </c>
      <c r="B93" s="8" t="s">
        <v>180</v>
      </c>
      <c r="C93" s="8" t="s">
        <v>26</v>
      </c>
      <c r="D93" s="8" t="s">
        <v>34</v>
      </c>
      <c r="E93" s="8" t="s">
        <v>63</v>
      </c>
      <c r="F93" s="17">
        <v>46118</v>
      </c>
      <c r="G93" s="8">
        <v>6</v>
      </c>
      <c r="H93" s="8">
        <v>2</v>
      </c>
      <c r="I93" s="10">
        <v>683</v>
      </c>
      <c r="J93" s="10">
        <f t="shared" si="1"/>
        <v>4098</v>
      </c>
      <c r="K93" s="8" t="s">
        <v>70</v>
      </c>
    </row>
    <row r="94" spans="1:11" x14ac:dyDescent="0.3">
      <c r="A94" s="8" t="s">
        <v>234</v>
      </c>
      <c r="B94" s="8" t="s">
        <v>235</v>
      </c>
      <c r="C94" s="8" t="s">
        <v>25</v>
      </c>
      <c r="D94" s="8" t="s">
        <v>36</v>
      </c>
      <c r="E94" s="8" t="s">
        <v>69</v>
      </c>
      <c r="F94" s="17">
        <v>46118</v>
      </c>
      <c r="G94" s="8">
        <v>9</v>
      </c>
      <c r="H94" s="8">
        <v>4</v>
      </c>
      <c r="I94" s="10">
        <v>107</v>
      </c>
      <c r="J94" s="10">
        <f t="shared" si="1"/>
        <v>963</v>
      </c>
      <c r="K94" s="8" t="s">
        <v>70</v>
      </c>
    </row>
    <row r="95" spans="1:11" x14ac:dyDescent="0.3">
      <c r="A95" s="8" t="s">
        <v>236</v>
      </c>
      <c r="B95" s="8" t="s">
        <v>237</v>
      </c>
      <c r="C95" s="8" t="s">
        <v>26</v>
      </c>
      <c r="D95" s="8" t="s">
        <v>39</v>
      </c>
      <c r="E95" s="8" t="s">
        <v>63</v>
      </c>
      <c r="F95" s="17">
        <v>46131</v>
      </c>
      <c r="G95" s="8">
        <v>5</v>
      </c>
      <c r="H95" s="8">
        <v>3</v>
      </c>
      <c r="I95" s="10">
        <v>535</v>
      </c>
      <c r="J95" s="10">
        <f t="shared" si="1"/>
        <v>2675</v>
      </c>
      <c r="K95" s="8" t="s">
        <v>66</v>
      </c>
    </row>
    <row r="96" spans="1:11" x14ac:dyDescent="0.3">
      <c r="A96" s="8" t="s">
        <v>238</v>
      </c>
      <c r="B96" s="8" t="s">
        <v>230</v>
      </c>
      <c r="C96" s="8" t="s">
        <v>26</v>
      </c>
      <c r="D96" s="8" t="s">
        <v>38</v>
      </c>
      <c r="E96" s="8" t="s">
        <v>69</v>
      </c>
      <c r="F96" s="17">
        <v>46043</v>
      </c>
      <c r="G96" s="8">
        <v>2</v>
      </c>
      <c r="H96" s="8">
        <v>1</v>
      </c>
      <c r="I96" s="10">
        <v>486</v>
      </c>
      <c r="J96" s="10">
        <f t="shared" si="1"/>
        <v>972</v>
      </c>
      <c r="K96" s="8" t="s">
        <v>80</v>
      </c>
    </row>
    <row r="97" spans="1:11" x14ac:dyDescent="0.3">
      <c r="A97" s="8" t="s">
        <v>239</v>
      </c>
      <c r="B97" s="8" t="s">
        <v>240</v>
      </c>
      <c r="C97" s="8" t="s">
        <v>24</v>
      </c>
      <c r="D97" s="8" t="s">
        <v>36</v>
      </c>
      <c r="E97" s="8" t="s">
        <v>63</v>
      </c>
      <c r="F97" s="17">
        <v>46038</v>
      </c>
      <c r="G97" s="8">
        <v>1</v>
      </c>
      <c r="H97" s="8">
        <v>2</v>
      </c>
      <c r="I97" s="10">
        <v>187</v>
      </c>
      <c r="J97" s="10">
        <f t="shared" si="1"/>
        <v>187</v>
      </c>
      <c r="K97" s="8" t="s">
        <v>60</v>
      </c>
    </row>
    <row r="98" spans="1:11" x14ac:dyDescent="0.3">
      <c r="A98" s="8" t="s">
        <v>241</v>
      </c>
      <c r="B98" s="8" t="s">
        <v>106</v>
      </c>
      <c r="C98" s="8" t="s">
        <v>26</v>
      </c>
      <c r="D98" s="8" t="s">
        <v>36</v>
      </c>
      <c r="E98" s="8" t="s">
        <v>59</v>
      </c>
      <c r="F98" s="17">
        <v>46249</v>
      </c>
      <c r="G98" s="8">
        <v>8</v>
      </c>
      <c r="H98" s="8">
        <v>1</v>
      </c>
      <c r="I98" s="10">
        <v>634</v>
      </c>
      <c r="J98" s="10">
        <f t="shared" si="1"/>
        <v>5072</v>
      </c>
      <c r="K98" s="8" t="s">
        <v>80</v>
      </c>
    </row>
    <row r="99" spans="1:11" x14ac:dyDescent="0.3">
      <c r="A99" s="8" t="s">
        <v>242</v>
      </c>
      <c r="B99" s="8" t="s">
        <v>243</v>
      </c>
      <c r="C99" s="8" t="s">
        <v>27</v>
      </c>
      <c r="D99" s="8" t="s">
        <v>34</v>
      </c>
      <c r="E99" s="8" t="s">
        <v>69</v>
      </c>
      <c r="F99" s="17">
        <v>46060</v>
      </c>
      <c r="G99" s="8">
        <v>2</v>
      </c>
      <c r="H99" s="8">
        <v>4</v>
      </c>
      <c r="I99" s="10">
        <v>472</v>
      </c>
      <c r="J99" s="10">
        <f t="shared" si="1"/>
        <v>944</v>
      </c>
      <c r="K99" s="8" t="s">
        <v>66</v>
      </c>
    </row>
    <row r="100" spans="1:11" x14ac:dyDescent="0.3">
      <c r="A100" s="8" t="s">
        <v>244</v>
      </c>
      <c r="B100" s="8" t="s">
        <v>245</v>
      </c>
      <c r="C100" s="8" t="s">
        <v>24</v>
      </c>
      <c r="D100" s="8" t="s">
        <v>38</v>
      </c>
      <c r="E100" s="8" t="s">
        <v>75</v>
      </c>
      <c r="F100" s="17">
        <v>46214</v>
      </c>
      <c r="G100" s="8">
        <v>4</v>
      </c>
      <c r="H100" s="8">
        <v>2</v>
      </c>
      <c r="I100" s="10">
        <v>194</v>
      </c>
      <c r="J100" s="10">
        <f t="shared" si="1"/>
        <v>776</v>
      </c>
      <c r="K100" s="8" t="s">
        <v>60</v>
      </c>
    </row>
    <row r="101" spans="1:11" x14ac:dyDescent="0.3">
      <c r="A101" s="8" t="s">
        <v>246</v>
      </c>
      <c r="B101" s="8" t="s">
        <v>247</v>
      </c>
      <c r="C101" s="8" t="s">
        <v>27</v>
      </c>
      <c r="D101" s="8" t="s">
        <v>38</v>
      </c>
      <c r="E101" s="8" t="s">
        <v>63</v>
      </c>
      <c r="F101" s="17">
        <v>46237</v>
      </c>
      <c r="G101" s="8">
        <v>5</v>
      </c>
      <c r="H101" s="8">
        <v>4</v>
      </c>
      <c r="I101" s="10">
        <v>513</v>
      </c>
      <c r="J101" s="10">
        <f t="shared" si="1"/>
        <v>2565</v>
      </c>
      <c r="K101" s="8" t="s">
        <v>60</v>
      </c>
    </row>
    <row r="102" spans="1:11" x14ac:dyDescent="0.3">
      <c r="A102" s="8" t="s">
        <v>248</v>
      </c>
      <c r="B102" s="8" t="s">
        <v>65</v>
      </c>
      <c r="C102" s="8" t="s">
        <v>26</v>
      </c>
      <c r="D102" s="8" t="s">
        <v>35</v>
      </c>
      <c r="E102" s="8" t="s">
        <v>69</v>
      </c>
      <c r="F102" s="17">
        <v>46178</v>
      </c>
      <c r="G102" s="8">
        <v>3</v>
      </c>
      <c r="H102" s="8">
        <v>4</v>
      </c>
      <c r="I102" s="10">
        <v>683</v>
      </c>
      <c r="J102" s="10">
        <f t="shared" si="1"/>
        <v>2049</v>
      </c>
      <c r="K102" s="8" t="s">
        <v>70</v>
      </c>
    </row>
    <row r="103" spans="1:11" x14ac:dyDescent="0.3">
      <c r="A103" s="8" t="s">
        <v>249</v>
      </c>
      <c r="B103" s="8" t="s">
        <v>250</v>
      </c>
      <c r="C103" s="8" t="s">
        <v>25</v>
      </c>
      <c r="D103" s="8" t="s">
        <v>38</v>
      </c>
      <c r="E103" s="8" t="s">
        <v>63</v>
      </c>
      <c r="F103" s="17">
        <v>46187</v>
      </c>
      <c r="G103" s="8">
        <v>5</v>
      </c>
      <c r="H103" s="8">
        <v>3</v>
      </c>
      <c r="I103" s="10">
        <v>134</v>
      </c>
      <c r="J103" s="10">
        <f t="shared" si="1"/>
        <v>670</v>
      </c>
      <c r="K103" s="8" t="s">
        <v>66</v>
      </c>
    </row>
    <row r="104" spans="1:11" x14ac:dyDescent="0.3">
      <c r="A104" s="8" t="s">
        <v>251</v>
      </c>
      <c r="B104" s="8" t="s">
        <v>247</v>
      </c>
      <c r="C104" s="8" t="s">
        <v>27</v>
      </c>
      <c r="D104" s="8" t="s">
        <v>38</v>
      </c>
      <c r="E104" s="8" t="s">
        <v>63</v>
      </c>
      <c r="F104" s="17">
        <v>46216</v>
      </c>
      <c r="G104" s="8">
        <v>9</v>
      </c>
      <c r="H104" s="8">
        <v>4</v>
      </c>
      <c r="I104" s="10">
        <v>399</v>
      </c>
      <c r="J104" s="10">
        <f t="shared" si="1"/>
        <v>3591</v>
      </c>
      <c r="K104" s="8" t="s">
        <v>66</v>
      </c>
    </row>
    <row r="105" spans="1:11" x14ac:dyDescent="0.3">
      <c r="A105" s="8" t="s">
        <v>252</v>
      </c>
      <c r="B105" s="8" t="s">
        <v>77</v>
      </c>
      <c r="C105" s="8" t="s">
        <v>23</v>
      </c>
      <c r="D105" s="8" t="s">
        <v>37</v>
      </c>
      <c r="E105" s="8" t="s">
        <v>75</v>
      </c>
      <c r="F105" s="17">
        <v>46025</v>
      </c>
      <c r="G105" s="8">
        <v>6</v>
      </c>
      <c r="H105" s="8">
        <v>4</v>
      </c>
      <c r="I105" s="10">
        <v>335</v>
      </c>
      <c r="J105" s="10">
        <f t="shared" si="1"/>
        <v>2010</v>
      </c>
      <c r="K105" s="8" t="s">
        <v>66</v>
      </c>
    </row>
    <row r="106" spans="1:11" x14ac:dyDescent="0.3">
      <c r="A106" s="8" t="s">
        <v>253</v>
      </c>
      <c r="B106" s="8" t="s">
        <v>254</v>
      </c>
      <c r="C106" s="8" t="s">
        <v>23</v>
      </c>
      <c r="D106" s="8" t="s">
        <v>36</v>
      </c>
      <c r="E106" s="8" t="s">
        <v>63</v>
      </c>
      <c r="F106" s="17">
        <v>46027</v>
      </c>
      <c r="G106" s="8">
        <v>10</v>
      </c>
      <c r="H106" s="8">
        <v>3</v>
      </c>
      <c r="I106" s="10">
        <v>301</v>
      </c>
      <c r="J106" s="10">
        <f t="shared" si="1"/>
        <v>3010</v>
      </c>
      <c r="K106" s="8" t="s">
        <v>60</v>
      </c>
    </row>
    <row r="107" spans="1:11" x14ac:dyDescent="0.3">
      <c r="A107" s="8" t="s">
        <v>255</v>
      </c>
      <c r="B107" s="8" t="s">
        <v>125</v>
      </c>
      <c r="C107" s="8" t="s">
        <v>26</v>
      </c>
      <c r="D107" s="8" t="s">
        <v>38</v>
      </c>
      <c r="E107" s="8" t="s">
        <v>63</v>
      </c>
      <c r="F107" s="17">
        <v>46154</v>
      </c>
      <c r="G107" s="8">
        <v>10</v>
      </c>
      <c r="H107" s="8">
        <v>1</v>
      </c>
      <c r="I107" s="10">
        <v>598</v>
      </c>
      <c r="J107" s="10">
        <f t="shared" si="1"/>
        <v>5980</v>
      </c>
      <c r="K107" s="8" t="s">
        <v>70</v>
      </c>
    </row>
    <row r="108" spans="1:11" x14ac:dyDescent="0.3">
      <c r="A108" s="8" t="s">
        <v>256</v>
      </c>
      <c r="B108" s="8" t="s">
        <v>257</v>
      </c>
      <c r="C108" s="8" t="s">
        <v>24</v>
      </c>
      <c r="D108" s="8" t="s">
        <v>39</v>
      </c>
      <c r="E108" s="8" t="s">
        <v>63</v>
      </c>
      <c r="F108" s="17">
        <v>46067</v>
      </c>
      <c r="G108" s="8">
        <v>3</v>
      </c>
      <c r="H108" s="8">
        <v>1</v>
      </c>
      <c r="I108" s="10">
        <v>226</v>
      </c>
      <c r="J108" s="10">
        <f t="shared" si="1"/>
        <v>678</v>
      </c>
      <c r="K108" s="8" t="s">
        <v>80</v>
      </c>
    </row>
    <row r="109" spans="1:11" x14ac:dyDescent="0.3">
      <c r="A109" s="8" t="s">
        <v>258</v>
      </c>
      <c r="B109" s="8" t="s">
        <v>259</v>
      </c>
      <c r="C109" s="8" t="s">
        <v>25</v>
      </c>
      <c r="D109" s="8" t="s">
        <v>36</v>
      </c>
      <c r="E109" s="8" t="s">
        <v>75</v>
      </c>
      <c r="F109" s="17">
        <v>46047</v>
      </c>
      <c r="G109" s="8">
        <v>3</v>
      </c>
      <c r="H109" s="8">
        <v>3</v>
      </c>
      <c r="I109" s="10">
        <v>174</v>
      </c>
      <c r="J109" s="10">
        <f t="shared" si="1"/>
        <v>522</v>
      </c>
      <c r="K109" s="8" t="s">
        <v>60</v>
      </c>
    </row>
    <row r="110" spans="1:11" x14ac:dyDescent="0.3">
      <c r="A110" s="8" t="s">
        <v>260</v>
      </c>
      <c r="B110" s="8" t="s">
        <v>74</v>
      </c>
      <c r="C110" s="8" t="s">
        <v>24</v>
      </c>
      <c r="D110" s="8" t="s">
        <v>37</v>
      </c>
      <c r="E110" s="8" t="s">
        <v>69</v>
      </c>
      <c r="F110" s="17">
        <v>46025</v>
      </c>
      <c r="G110" s="8">
        <v>2</v>
      </c>
      <c r="H110" s="8">
        <v>4</v>
      </c>
      <c r="I110" s="10">
        <v>182</v>
      </c>
      <c r="J110" s="10">
        <f t="shared" si="1"/>
        <v>364</v>
      </c>
      <c r="K110" s="8" t="s">
        <v>70</v>
      </c>
    </row>
    <row r="111" spans="1:11" x14ac:dyDescent="0.3">
      <c r="A111" s="8" t="s">
        <v>261</v>
      </c>
      <c r="B111" s="8" t="s">
        <v>173</v>
      </c>
      <c r="C111" s="8" t="s">
        <v>26</v>
      </c>
      <c r="D111" s="8" t="s">
        <v>38</v>
      </c>
      <c r="E111" s="8" t="s">
        <v>69</v>
      </c>
      <c r="F111" s="17">
        <v>46138</v>
      </c>
      <c r="G111" s="8">
        <v>4</v>
      </c>
      <c r="H111" s="8">
        <v>4</v>
      </c>
      <c r="I111" s="10">
        <v>678</v>
      </c>
      <c r="J111" s="10">
        <f t="shared" si="1"/>
        <v>2712</v>
      </c>
      <c r="K111" s="8" t="s">
        <v>80</v>
      </c>
    </row>
    <row r="112" spans="1:11" x14ac:dyDescent="0.3">
      <c r="A112" s="8" t="s">
        <v>262</v>
      </c>
      <c r="B112" s="8" t="s">
        <v>263</v>
      </c>
      <c r="C112" s="8" t="s">
        <v>24</v>
      </c>
      <c r="D112" s="8" t="s">
        <v>37</v>
      </c>
      <c r="E112" s="8" t="s">
        <v>59</v>
      </c>
      <c r="F112" s="17">
        <v>46033</v>
      </c>
      <c r="G112" s="8">
        <v>3</v>
      </c>
      <c r="H112" s="8">
        <v>3</v>
      </c>
      <c r="I112" s="10">
        <v>193</v>
      </c>
      <c r="J112" s="10">
        <f t="shared" si="1"/>
        <v>579</v>
      </c>
      <c r="K112" s="8" t="s">
        <v>66</v>
      </c>
    </row>
    <row r="113" spans="1:11" x14ac:dyDescent="0.3">
      <c r="A113" s="8" t="s">
        <v>264</v>
      </c>
      <c r="B113" s="8" t="s">
        <v>265</v>
      </c>
      <c r="C113" s="8" t="s">
        <v>27</v>
      </c>
      <c r="D113" s="8" t="s">
        <v>39</v>
      </c>
      <c r="E113" s="8" t="s">
        <v>75</v>
      </c>
      <c r="F113" s="17">
        <v>46200</v>
      </c>
      <c r="G113" s="8">
        <v>1</v>
      </c>
      <c r="H113" s="8">
        <v>1</v>
      </c>
      <c r="I113" s="10">
        <v>534</v>
      </c>
      <c r="J113" s="10">
        <f t="shared" si="1"/>
        <v>534</v>
      </c>
      <c r="K113" s="8" t="s">
        <v>80</v>
      </c>
    </row>
    <row r="114" spans="1:11" x14ac:dyDescent="0.3">
      <c r="A114" s="8" t="s">
        <v>266</v>
      </c>
      <c r="B114" s="8" t="s">
        <v>267</v>
      </c>
      <c r="C114" s="8" t="s">
        <v>24</v>
      </c>
      <c r="D114" s="8" t="s">
        <v>37</v>
      </c>
      <c r="E114" s="8" t="s">
        <v>69</v>
      </c>
      <c r="F114" s="17">
        <v>46209</v>
      </c>
      <c r="G114" s="8">
        <v>2</v>
      </c>
      <c r="H114" s="8">
        <v>2</v>
      </c>
      <c r="I114" s="10">
        <v>190</v>
      </c>
      <c r="J114" s="10">
        <f t="shared" si="1"/>
        <v>380</v>
      </c>
      <c r="K114" s="8" t="s">
        <v>80</v>
      </c>
    </row>
    <row r="115" spans="1:11" x14ac:dyDescent="0.3">
      <c r="A115" s="8" t="s">
        <v>268</v>
      </c>
      <c r="B115" s="8" t="s">
        <v>269</v>
      </c>
      <c r="C115" s="8" t="s">
        <v>24</v>
      </c>
      <c r="D115" s="8" t="s">
        <v>37</v>
      </c>
      <c r="E115" s="8" t="s">
        <v>75</v>
      </c>
      <c r="F115" s="17">
        <v>46050</v>
      </c>
      <c r="G115" s="8">
        <v>6</v>
      </c>
      <c r="H115" s="8">
        <v>3</v>
      </c>
      <c r="I115" s="10">
        <v>274</v>
      </c>
      <c r="J115" s="10">
        <f t="shared" si="1"/>
        <v>1644</v>
      </c>
      <c r="K115" s="8" t="s">
        <v>66</v>
      </c>
    </row>
    <row r="116" spans="1:11" x14ac:dyDescent="0.3">
      <c r="A116" s="8" t="s">
        <v>270</v>
      </c>
      <c r="B116" s="8" t="s">
        <v>65</v>
      </c>
      <c r="C116" s="8" t="s">
        <v>24</v>
      </c>
      <c r="D116" s="8" t="s">
        <v>34</v>
      </c>
      <c r="E116" s="8" t="s">
        <v>75</v>
      </c>
      <c r="F116" s="17">
        <v>46154</v>
      </c>
      <c r="G116" s="8">
        <v>3</v>
      </c>
      <c r="H116" s="8">
        <v>4</v>
      </c>
      <c r="I116" s="10">
        <v>262</v>
      </c>
      <c r="J116" s="10">
        <f t="shared" si="1"/>
        <v>786</v>
      </c>
      <c r="K116" s="8" t="s">
        <v>80</v>
      </c>
    </row>
    <row r="117" spans="1:11" x14ac:dyDescent="0.3">
      <c r="A117" s="8" t="s">
        <v>271</v>
      </c>
      <c r="B117" s="8" t="s">
        <v>272</v>
      </c>
      <c r="C117" s="8" t="s">
        <v>24</v>
      </c>
      <c r="D117" s="8" t="s">
        <v>36</v>
      </c>
      <c r="E117" s="8" t="s">
        <v>59</v>
      </c>
      <c r="F117" s="17">
        <v>46113</v>
      </c>
      <c r="G117" s="8">
        <v>2</v>
      </c>
      <c r="H117" s="8">
        <v>2</v>
      </c>
      <c r="I117" s="10">
        <v>267</v>
      </c>
      <c r="J117" s="10">
        <f t="shared" si="1"/>
        <v>534</v>
      </c>
      <c r="K117" s="8" t="s">
        <v>80</v>
      </c>
    </row>
    <row r="118" spans="1:11" x14ac:dyDescent="0.3">
      <c r="A118" s="8" t="s">
        <v>273</v>
      </c>
      <c r="B118" s="8" t="s">
        <v>274</v>
      </c>
      <c r="C118" s="8" t="s">
        <v>26</v>
      </c>
      <c r="D118" s="8" t="s">
        <v>34</v>
      </c>
      <c r="E118" s="8" t="s">
        <v>59</v>
      </c>
      <c r="F118" s="17">
        <v>46089</v>
      </c>
      <c r="G118" s="8">
        <v>4</v>
      </c>
      <c r="H118" s="8">
        <v>2</v>
      </c>
      <c r="I118" s="10">
        <v>550</v>
      </c>
      <c r="J118" s="10">
        <f t="shared" si="1"/>
        <v>2200</v>
      </c>
      <c r="K118" s="8" t="s">
        <v>80</v>
      </c>
    </row>
    <row r="119" spans="1:11" x14ac:dyDescent="0.3">
      <c r="A119" s="8" t="s">
        <v>275</v>
      </c>
      <c r="B119" s="8" t="s">
        <v>145</v>
      </c>
      <c r="C119" s="8" t="s">
        <v>26</v>
      </c>
      <c r="D119" s="8" t="s">
        <v>34</v>
      </c>
      <c r="E119" s="8" t="s">
        <v>69</v>
      </c>
      <c r="F119" s="17">
        <v>46191</v>
      </c>
      <c r="G119" s="8">
        <v>9</v>
      </c>
      <c r="H119" s="8">
        <v>1</v>
      </c>
      <c r="I119" s="10">
        <v>581</v>
      </c>
      <c r="J119" s="10">
        <f t="shared" si="1"/>
        <v>5229</v>
      </c>
      <c r="K119" s="8" t="s">
        <v>60</v>
      </c>
    </row>
    <row r="120" spans="1:11" x14ac:dyDescent="0.3">
      <c r="A120" s="8" t="s">
        <v>276</v>
      </c>
      <c r="B120" s="8" t="s">
        <v>277</v>
      </c>
      <c r="C120" s="8" t="s">
        <v>23</v>
      </c>
      <c r="D120" s="8" t="s">
        <v>37</v>
      </c>
      <c r="E120" s="8" t="s">
        <v>59</v>
      </c>
      <c r="F120" s="17">
        <v>46112</v>
      </c>
      <c r="G120" s="8">
        <v>8</v>
      </c>
      <c r="H120" s="8">
        <v>3</v>
      </c>
      <c r="I120" s="10">
        <v>351</v>
      </c>
      <c r="J120" s="10">
        <f t="shared" si="1"/>
        <v>2808</v>
      </c>
      <c r="K120" s="8" t="s">
        <v>70</v>
      </c>
    </row>
    <row r="121" spans="1:11" x14ac:dyDescent="0.3">
      <c r="A121" s="8" t="s">
        <v>278</v>
      </c>
      <c r="B121" s="8" t="s">
        <v>279</v>
      </c>
      <c r="C121" s="8" t="s">
        <v>27</v>
      </c>
      <c r="D121" s="8" t="s">
        <v>37</v>
      </c>
      <c r="E121" s="8" t="s">
        <v>75</v>
      </c>
      <c r="F121" s="17">
        <v>46135</v>
      </c>
      <c r="G121" s="8">
        <v>2</v>
      </c>
      <c r="H121" s="8">
        <v>4</v>
      </c>
      <c r="I121" s="10">
        <v>386</v>
      </c>
      <c r="J121" s="10">
        <f t="shared" si="1"/>
        <v>772</v>
      </c>
      <c r="K121" s="8" t="s">
        <v>60</v>
      </c>
    </row>
    <row r="122" spans="1:11" x14ac:dyDescent="0.3">
      <c r="A122" s="8" t="s">
        <v>280</v>
      </c>
      <c r="B122" s="8" t="s">
        <v>281</v>
      </c>
      <c r="C122" s="8" t="s">
        <v>25</v>
      </c>
      <c r="D122" s="8" t="s">
        <v>36</v>
      </c>
      <c r="E122" s="8" t="s">
        <v>63</v>
      </c>
      <c r="F122" s="17">
        <v>46112</v>
      </c>
      <c r="G122" s="8">
        <v>4</v>
      </c>
      <c r="H122" s="8">
        <v>4</v>
      </c>
      <c r="I122" s="10">
        <v>169</v>
      </c>
      <c r="J122" s="10">
        <f t="shared" si="1"/>
        <v>676</v>
      </c>
      <c r="K122" s="8" t="s">
        <v>80</v>
      </c>
    </row>
    <row r="123" spans="1:11" x14ac:dyDescent="0.3">
      <c r="A123" s="8" t="s">
        <v>282</v>
      </c>
      <c r="B123" s="8" t="s">
        <v>283</v>
      </c>
      <c r="C123" s="8" t="s">
        <v>27</v>
      </c>
      <c r="D123" s="8" t="s">
        <v>38</v>
      </c>
      <c r="E123" s="8" t="s">
        <v>75</v>
      </c>
      <c r="F123" s="17">
        <v>46112</v>
      </c>
      <c r="G123" s="8">
        <v>9</v>
      </c>
      <c r="H123" s="8">
        <v>4</v>
      </c>
      <c r="I123" s="10">
        <v>519</v>
      </c>
      <c r="J123" s="10">
        <f t="shared" si="1"/>
        <v>4671</v>
      </c>
      <c r="K123" s="8" t="s">
        <v>60</v>
      </c>
    </row>
    <row r="124" spans="1:11" x14ac:dyDescent="0.3">
      <c r="A124" s="8" t="s">
        <v>284</v>
      </c>
      <c r="B124" s="8" t="s">
        <v>283</v>
      </c>
      <c r="C124" s="8" t="s">
        <v>23</v>
      </c>
      <c r="D124" s="8" t="s">
        <v>36</v>
      </c>
      <c r="E124" s="8" t="s">
        <v>59</v>
      </c>
      <c r="F124" s="17">
        <v>46142</v>
      </c>
      <c r="G124" s="8">
        <v>3</v>
      </c>
      <c r="H124" s="8">
        <v>1</v>
      </c>
      <c r="I124" s="10">
        <v>331</v>
      </c>
      <c r="J124" s="10">
        <f t="shared" si="1"/>
        <v>993</v>
      </c>
      <c r="K124" s="8" t="s">
        <v>66</v>
      </c>
    </row>
    <row r="125" spans="1:11" x14ac:dyDescent="0.3">
      <c r="A125" s="8" t="s">
        <v>285</v>
      </c>
      <c r="B125" s="8" t="s">
        <v>156</v>
      </c>
      <c r="C125" s="8" t="s">
        <v>25</v>
      </c>
      <c r="D125" s="8" t="s">
        <v>38</v>
      </c>
      <c r="E125" s="8" t="s">
        <v>59</v>
      </c>
      <c r="F125" s="17">
        <v>46061</v>
      </c>
      <c r="G125" s="8">
        <v>8</v>
      </c>
      <c r="H125" s="8">
        <v>1</v>
      </c>
      <c r="I125" s="10">
        <v>161</v>
      </c>
      <c r="J125" s="10">
        <f t="shared" si="1"/>
        <v>1288</v>
      </c>
      <c r="K125" s="8" t="s">
        <v>80</v>
      </c>
    </row>
    <row r="126" spans="1:11" x14ac:dyDescent="0.3">
      <c r="A126" s="8" t="s">
        <v>286</v>
      </c>
      <c r="B126" s="8" t="s">
        <v>287</v>
      </c>
      <c r="C126" s="8" t="s">
        <v>27</v>
      </c>
      <c r="D126" s="8" t="s">
        <v>34</v>
      </c>
      <c r="E126" s="8" t="s">
        <v>75</v>
      </c>
      <c r="F126" s="17">
        <v>46035</v>
      </c>
      <c r="G126" s="8">
        <v>6</v>
      </c>
      <c r="H126" s="8">
        <v>3</v>
      </c>
      <c r="I126" s="10">
        <v>413</v>
      </c>
      <c r="J126" s="10">
        <f t="shared" si="1"/>
        <v>2478</v>
      </c>
      <c r="K126" s="8" t="s">
        <v>70</v>
      </c>
    </row>
    <row r="127" spans="1:11" x14ac:dyDescent="0.3">
      <c r="A127" s="8" t="s">
        <v>288</v>
      </c>
      <c r="B127" s="8" t="s">
        <v>162</v>
      </c>
      <c r="C127" s="8" t="s">
        <v>24</v>
      </c>
      <c r="D127" s="8" t="s">
        <v>35</v>
      </c>
      <c r="E127" s="8" t="s">
        <v>75</v>
      </c>
      <c r="F127" s="17">
        <v>46195</v>
      </c>
      <c r="G127" s="8">
        <v>7</v>
      </c>
      <c r="H127" s="8">
        <v>2</v>
      </c>
      <c r="I127" s="10">
        <v>236</v>
      </c>
      <c r="J127" s="10">
        <f t="shared" si="1"/>
        <v>1652</v>
      </c>
      <c r="K127" s="8" t="s">
        <v>60</v>
      </c>
    </row>
    <row r="128" spans="1:11" x14ac:dyDescent="0.3">
      <c r="A128" s="8" t="s">
        <v>289</v>
      </c>
      <c r="B128" s="8" t="s">
        <v>194</v>
      </c>
      <c r="C128" s="8" t="s">
        <v>23</v>
      </c>
      <c r="D128" s="8" t="s">
        <v>36</v>
      </c>
      <c r="E128" s="8" t="s">
        <v>59</v>
      </c>
      <c r="F128" s="17">
        <v>46084</v>
      </c>
      <c r="G128" s="8">
        <v>2</v>
      </c>
      <c r="H128" s="8">
        <v>2</v>
      </c>
      <c r="I128" s="10">
        <v>312</v>
      </c>
      <c r="J128" s="10">
        <f t="shared" si="1"/>
        <v>624</v>
      </c>
      <c r="K128" s="8" t="s">
        <v>70</v>
      </c>
    </row>
    <row r="129" spans="1:11" x14ac:dyDescent="0.3">
      <c r="A129" s="8" t="s">
        <v>290</v>
      </c>
      <c r="B129" s="8" t="s">
        <v>291</v>
      </c>
      <c r="C129" s="8" t="s">
        <v>25</v>
      </c>
      <c r="D129" s="8" t="s">
        <v>37</v>
      </c>
      <c r="E129" s="8" t="s">
        <v>75</v>
      </c>
      <c r="F129" s="17">
        <v>46229</v>
      </c>
      <c r="G129" s="8">
        <v>1</v>
      </c>
      <c r="H129" s="8">
        <v>2</v>
      </c>
      <c r="I129" s="10">
        <v>136</v>
      </c>
      <c r="J129" s="10">
        <f t="shared" si="1"/>
        <v>136</v>
      </c>
      <c r="K129" s="8" t="s">
        <v>70</v>
      </c>
    </row>
    <row r="130" spans="1:11" x14ac:dyDescent="0.3">
      <c r="A130" s="8" t="s">
        <v>292</v>
      </c>
      <c r="B130" s="8" t="s">
        <v>190</v>
      </c>
      <c r="C130" s="8" t="s">
        <v>26</v>
      </c>
      <c r="D130" s="8" t="s">
        <v>35</v>
      </c>
      <c r="E130" s="8" t="s">
        <v>69</v>
      </c>
      <c r="F130" s="17">
        <v>46109</v>
      </c>
      <c r="G130" s="8">
        <v>9</v>
      </c>
      <c r="H130" s="8">
        <v>3</v>
      </c>
      <c r="I130" s="10">
        <v>712</v>
      </c>
      <c r="J130" s="10">
        <f t="shared" ref="J130:J193" si="2">G130*I130</f>
        <v>6408</v>
      </c>
      <c r="K130" s="8" t="s">
        <v>66</v>
      </c>
    </row>
    <row r="131" spans="1:11" x14ac:dyDescent="0.3">
      <c r="A131" s="8" t="s">
        <v>293</v>
      </c>
      <c r="B131" s="8" t="s">
        <v>100</v>
      </c>
      <c r="C131" s="8" t="s">
        <v>23</v>
      </c>
      <c r="D131" s="8" t="s">
        <v>39</v>
      </c>
      <c r="E131" s="8" t="s">
        <v>59</v>
      </c>
      <c r="F131" s="17">
        <v>46060</v>
      </c>
      <c r="G131" s="8">
        <v>1</v>
      </c>
      <c r="H131" s="8">
        <v>1</v>
      </c>
      <c r="I131" s="10">
        <v>306</v>
      </c>
      <c r="J131" s="10">
        <f t="shared" si="2"/>
        <v>306</v>
      </c>
      <c r="K131" s="8" t="s">
        <v>66</v>
      </c>
    </row>
    <row r="132" spans="1:11" x14ac:dyDescent="0.3">
      <c r="A132" s="8" t="s">
        <v>294</v>
      </c>
      <c r="B132" s="8" t="s">
        <v>170</v>
      </c>
      <c r="C132" s="8" t="s">
        <v>25</v>
      </c>
      <c r="D132" s="8" t="s">
        <v>37</v>
      </c>
      <c r="E132" s="8" t="s">
        <v>69</v>
      </c>
      <c r="F132" s="17">
        <v>46155</v>
      </c>
      <c r="G132" s="8">
        <v>6</v>
      </c>
      <c r="H132" s="8">
        <v>3</v>
      </c>
      <c r="I132" s="10">
        <v>134</v>
      </c>
      <c r="J132" s="10">
        <f t="shared" si="2"/>
        <v>804</v>
      </c>
      <c r="K132" s="8" t="s">
        <v>66</v>
      </c>
    </row>
    <row r="133" spans="1:11" x14ac:dyDescent="0.3">
      <c r="A133" s="8" t="s">
        <v>295</v>
      </c>
      <c r="B133" s="8" t="s">
        <v>170</v>
      </c>
      <c r="C133" s="8" t="s">
        <v>24</v>
      </c>
      <c r="D133" s="8" t="s">
        <v>38</v>
      </c>
      <c r="E133" s="8" t="s">
        <v>59</v>
      </c>
      <c r="F133" s="17">
        <v>46192</v>
      </c>
      <c r="G133" s="8">
        <v>4</v>
      </c>
      <c r="H133" s="8">
        <v>4</v>
      </c>
      <c r="I133" s="10">
        <v>241</v>
      </c>
      <c r="J133" s="10">
        <f t="shared" si="2"/>
        <v>964</v>
      </c>
      <c r="K133" s="8" t="s">
        <v>80</v>
      </c>
    </row>
    <row r="134" spans="1:11" x14ac:dyDescent="0.3">
      <c r="A134" s="8" t="s">
        <v>296</v>
      </c>
      <c r="B134" s="8" t="s">
        <v>98</v>
      </c>
      <c r="C134" s="8" t="s">
        <v>24</v>
      </c>
      <c r="D134" s="8" t="s">
        <v>35</v>
      </c>
      <c r="E134" s="8" t="s">
        <v>59</v>
      </c>
      <c r="F134" s="17">
        <v>46158</v>
      </c>
      <c r="G134" s="8">
        <v>7</v>
      </c>
      <c r="H134" s="8">
        <v>1</v>
      </c>
      <c r="I134" s="10">
        <v>227</v>
      </c>
      <c r="J134" s="10">
        <f t="shared" si="2"/>
        <v>1589</v>
      </c>
      <c r="K134" s="8" t="s">
        <v>80</v>
      </c>
    </row>
    <row r="135" spans="1:11" x14ac:dyDescent="0.3">
      <c r="A135" s="8" t="s">
        <v>297</v>
      </c>
      <c r="B135" s="8" t="s">
        <v>158</v>
      </c>
      <c r="C135" s="8" t="s">
        <v>24</v>
      </c>
      <c r="D135" s="8" t="s">
        <v>34</v>
      </c>
      <c r="E135" s="8" t="s">
        <v>59</v>
      </c>
      <c r="F135" s="17">
        <v>46201</v>
      </c>
      <c r="G135" s="8">
        <v>10</v>
      </c>
      <c r="H135" s="8">
        <v>4</v>
      </c>
      <c r="I135" s="10">
        <v>267</v>
      </c>
      <c r="J135" s="10">
        <f t="shared" si="2"/>
        <v>2670</v>
      </c>
      <c r="K135" s="8" t="s">
        <v>80</v>
      </c>
    </row>
    <row r="136" spans="1:11" x14ac:dyDescent="0.3">
      <c r="A136" s="8" t="s">
        <v>298</v>
      </c>
      <c r="B136" s="8" t="s">
        <v>235</v>
      </c>
      <c r="C136" s="8" t="s">
        <v>23</v>
      </c>
      <c r="D136" s="8" t="s">
        <v>39</v>
      </c>
      <c r="E136" s="8" t="s">
        <v>59</v>
      </c>
      <c r="F136" s="17">
        <v>46062</v>
      </c>
      <c r="G136" s="8">
        <v>2</v>
      </c>
      <c r="H136" s="8">
        <v>2</v>
      </c>
      <c r="I136" s="10">
        <v>370</v>
      </c>
      <c r="J136" s="10">
        <f t="shared" si="2"/>
        <v>740</v>
      </c>
      <c r="K136" s="8" t="s">
        <v>60</v>
      </c>
    </row>
    <row r="137" spans="1:11" x14ac:dyDescent="0.3">
      <c r="A137" s="8" t="s">
        <v>299</v>
      </c>
      <c r="B137" s="8" t="s">
        <v>222</v>
      </c>
      <c r="C137" s="8" t="s">
        <v>27</v>
      </c>
      <c r="D137" s="8" t="s">
        <v>37</v>
      </c>
      <c r="E137" s="8" t="s">
        <v>75</v>
      </c>
      <c r="F137" s="17">
        <v>46108</v>
      </c>
      <c r="G137" s="8">
        <v>1</v>
      </c>
      <c r="H137" s="8">
        <v>3</v>
      </c>
      <c r="I137" s="10">
        <v>463</v>
      </c>
      <c r="J137" s="10">
        <f t="shared" si="2"/>
        <v>463</v>
      </c>
      <c r="K137" s="8" t="s">
        <v>66</v>
      </c>
    </row>
    <row r="138" spans="1:11" x14ac:dyDescent="0.3">
      <c r="A138" s="8" t="s">
        <v>300</v>
      </c>
      <c r="B138" s="8" t="s">
        <v>301</v>
      </c>
      <c r="C138" s="8" t="s">
        <v>25</v>
      </c>
      <c r="D138" s="8" t="s">
        <v>34</v>
      </c>
      <c r="E138" s="8" t="s">
        <v>69</v>
      </c>
      <c r="F138" s="17">
        <v>46159</v>
      </c>
      <c r="G138" s="8">
        <v>2</v>
      </c>
      <c r="H138" s="8">
        <v>4</v>
      </c>
      <c r="I138" s="10">
        <v>135</v>
      </c>
      <c r="J138" s="10">
        <f t="shared" si="2"/>
        <v>270</v>
      </c>
      <c r="K138" s="8" t="s">
        <v>70</v>
      </c>
    </row>
    <row r="139" spans="1:11" x14ac:dyDescent="0.3">
      <c r="A139" s="8" t="s">
        <v>302</v>
      </c>
      <c r="B139" s="8" t="s">
        <v>164</v>
      </c>
      <c r="C139" s="8" t="s">
        <v>24</v>
      </c>
      <c r="D139" s="8" t="s">
        <v>39</v>
      </c>
      <c r="E139" s="8" t="s">
        <v>75</v>
      </c>
      <c r="F139" s="17">
        <v>46124</v>
      </c>
      <c r="G139" s="8">
        <v>1</v>
      </c>
      <c r="H139" s="8">
        <v>1</v>
      </c>
      <c r="I139" s="10">
        <v>256</v>
      </c>
      <c r="J139" s="10">
        <f t="shared" si="2"/>
        <v>256</v>
      </c>
      <c r="K139" s="8" t="s">
        <v>66</v>
      </c>
    </row>
    <row r="140" spans="1:11" x14ac:dyDescent="0.3">
      <c r="A140" s="8" t="s">
        <v>303</v>
      </c>
      <c r="B140" s="8" t="s">
        <v>164</v>
      </c>
      <c r="C140" s="8" t="s">
        <v>24</v>
      </c>
      <c r="D140" s="8" t="s">
        <v>38</v>
      </c>
      <c r="E140" s="8" t="s">
        <v>75</v>
      </c>
      <c r="F140" s="17">
        <v>46076</v>
      </c>
      <c r="G140" s="8">
        <v>8</v>
      </c>
      <c r="H140" s="8">
        <v>4</v>
      </c>
      <c r="I140" s="10">
        <v>215</v>
      </c>
      <c r="J140" s="10">
        <f t="shared" si="2"/>
        <v>1720</v>
      </c>
      <c r="K140" s="8" t="s">
        <v>80</v>
      </c>
    </row>
    <row r="141" spans="1:11" x14ac:dyDescent="0.3">
      <c r="A141" s="8" t="s">
        <v>304</v>
      </c>
      <c r="B141" s="8" t="s">
        <v>305</v>
      </c>
      <c r="C141" s="8" t="s">
        <v>27</v>
      </c>
      <c r="D141" s="8" t="s">
        <v>37</v>
      </c>
      <c r="E141" s="8" t="s">
        <v>59</v>
      </c>
      <c r="F141" s="17">
        <v>46026</v>
      </c>
      <c r="G141" s="8">
        <v>8</v>
      </c>
      <c r="H141" s="8">
        <v>1</v>
      </c>
      <c r="I141" s="10">
        <v>440</v>
      </c>
      <c r="J141" s="10">
        <f t="shared" si="2"/>
        <v>3520</v>
      </c>
      <c r="K141" s="8" t="s">
        <v>80</v>
      </c>
    </row>
    <row r="142" spans="1:11" x14ac:dyDescent="0.3">
      <c r="A142" s="8" t="s">
        <v>306</v>
      </c>
      <c r="B142" s="8" t="s">
        <v>307</v>
      </c>
      <c r="C142" s="8" t="s">
        <v>25</v>
      </c>
      <c r="D142" s="8" t="s">
        <v>38</v>
      </c>
      <c r="E142" s="8" t="s">
        <v>63</v>
      </c>
      <c r="F142" s="17">
        <v>46063</v>
      </c>
      <c r="G142" s="8">
        <v>9</v>
      </c>
      <c r="H142" s="8">
        <v>4</v>
      </c>
      <c r="I142" s="10">
        <v>170</v>
      </c>
      <c r="J142" s="10">
        <f t="shared" si="2"/>
        <v>1530</v>
      </c>
      <c r="K142" s="8" t="s">
        <v>70</v>
      </c>
    </row>
    <row r="143" spans="1:11" x14ac:dyDescent="0.3">
      <c r="A143" s="8" t="s">
        <v>308</v>
      </c>
      <c r="B143" s="8" t="s">
        <v>250</v>
      </c>
      <c r="C143" s="8" t="s">
        <v>26</v>
      </c>
      <c r="D143" s="8" t="s">
        <v>39</v>
      </c>
      <c r="E143" s="8" t="s">
        <v>59</v>
      </c>
      <c r="F143" s="17">
        <v>46161</v>
      </c>
      <c r="G143" s="8">
        <v>1</v>
      </c>
      <c r="H143" s="8">
        <v>1</v>
      </c>
      <c r="I143" s="10">
        <v>627</v>
      </c>
      <c r="J143" s="10">
        <f t="shared" si="2"/>
        <v>627</v>
      </c>
      <c r="K143" s="8" t="s">
        <v>80</v>
      </c>
    </row>
    <row r="144" spans="1:11" x14ac:dyDescent="0.3">
      <c r="A144" s="8" t="s">
        <v>309</v>
      </c>
      <c r="B144" s="8" t="s">
        <v>310</v>
      </c>
      <c r="C144" s="8" t="s">
        <v>27</v>
      </c>
      <c r="D144" s="8" t="s">
        <v>36</v>
      </c>
      <c r="E144" s="8" t="s">
        <v>63</v>
      </c>
      <c r="F144" s="17">
        <v>46080</v>
      </c>
      <c r="G144" s="8">
        <v>5</v>
      </c>
      <c r="H144" s="8">
        <v>4</v>
      </c>
      <c r="I144" s="10">
        <v>538</v>
      </c>
      <c r="J144" s="10">
        <f t="shared" si="2"/>
        <v>2690</v>
      </c>
      <c r="K144" s="8" t="s">
        <v>80</v>
      </c>
    </row>
    <row r="145" spans="1:11" x14ac:dyDescent="0.3">
      <c r="A145" s="8" t="s">
        <v>311</v>
      </c>
      <c r="B145" s="8" t="s">
        <v>130</v>
      </c>
      <c r="C145" s="8" t="s">
        <v>26</v>
      </c>
      <c r="D145" s="8" t="s">
        <v>37</v>
      </c>
      <c r="E145" s="8" t="s">
        <v>69</v>
      </c>
      <c r="F145" s="17">
        <v>46247</v>
      </c>
      <c r="G145" s="8">
        <v>3</v>
      </c>
      <c r="H145" s="8">
        <v>3</v>
      </c>
      <c r="I145" s="10">
        <v>508</v>
      </c>
      <c r="J145" s="10">
        <f t="shared" si="2"/>
        <v>1524</v>
      </c>
      <c r="K145" s="8" t="s">
        <v>80</v>
      </c>
    </row>
    <row r="146" spans="1:11" x14ac:dyDescent="0.3">
      <c r="A146" s="8" t="s">
        <v>312</v>
      </c>
      <c r="B146" s="8" t="s">
        <v>313</v>
      </c>
      <c r="C146" s="8" t="s">
        <v>23</v>
      </c>
      <c r="D146" s="8" t="s">
        <v>36</v>
      </c>
      <c r="E146" s="8" t="s">
        <v>75</v>
      </c>
      <c r="F146" s="17">
        <v>46217</v>
      </c>
      <c r="G146" s="8">
        <v>1</v>
      </c>
      <c r="H146" s="8">
        <v>2</v>
      </c>
      <c r="I146" s="10">
        <v>396</v>
      </c>
      <c r="J146" s="10">
        <f t="shared" si="2"/>
        <v>396</v>
      </c>
      <c r="K146" s="8" t="s">
        <v>66</v>
      </c>
    </row>
    <row r="147" spans="1:11" x14ac:dyDescent="0.3">
      <c r="A147" s="8" t="s">
        <v>314</v>
      </c>
      <c r="B147" s="8" t="s">
        <v>315</v>
      </c>
      <c r="C147" s="8" t="s">
        <v>26</v>
      </c>
      <c r="D147" s="8" t="s">
        <v>34</v>
      </c>
      <c r="E147" s="8" t="s">
        <v>59</v>
      </c>
      <c r="F147" s="17">
        <v>46143</v>
      </c>
      <c r="G147" s="8">
        <v>3</v>
      </c>
      <c r="H147" s="8">
        <v>2</v>
      </c>
      <c r="I147" s="10">
        <v>591</v>
      </c>
      <c r="J147" s="10">
        <f t="shared" si="2"/>
        <v>1773</v>
      </c>
      <c r="K147" s="8" t="s">
        <v>66</v>
      </c>
    </row>
    <row r="148" spans="1:11" x14ac:dyDescent="0.3">
      <c r="A148" s="8" t="s">
        <v>316</v>
      </c>
      <c r="B148" s="8" t="s">
        <v>182</v>
      </c>
      <c r="C148" s="8" t="s">
        <v>24</v>
      </c>
      <c r="D148" s="8" t="s">
        <v>37</v>
      </c>
      <c r="E148" s="8" t="s">
        <v>59</v>
      </c>
      <c r="F148" s="17">
        <v>46171</v>
      </c>
      <c r="G148" s="8">
        <v>1</v>
      </c>
      <c r="H148" s="8">
        <v>3</v>
      </c>
      <c r="I148" s="10">
        <v>275</v>
      </c>
      <c r="J148" s="10">
        <f t="shared" si="2"/>
        <v>275</v>
      </c>
      <c r="K148" s="8" t="s">
        <v>60</v>
      </c>
    </row>
    <row r="149" spans="1:11" x14ac:dyDescent="0.3">
      <c r="A149" s="8" t="s">
        <v>317</v>
      </c>
      <c r="B149" s="8" t="s">
        <v>112</v>
      </c>
      <c r="C149" s="8" t="s">
        <v>26</v>
      </c>
      <c r="D149" s="8" t="s">
        <v>34</v>
      </c>
      <c r="E149" s="8" t="s">
        <v>75</v>
      </c>
      <c r="F149" s="17">
        <v>46155</v>
      </c>
      <c r="G149" s="8">
        <v>6</v>
      </c>
      <c r="H149" s="8">
        <v>2</v>
      </c>
      <c r="I149" s="10">
        <v>588</v>
      </c>
      <c r="J149" s="10">
        <f t="shared" si="2"/>
        <v>3528</v>
      </c>
      <c r="K149" s="8" t="s">
        <v>80</v>
      </c>
    </row>
    <row r="150" spans="1:11" x14ac:dyDescent="0.3">
      <c r="A150" s="8" t="s">
        <v>318</v>
      </c>
      <c r="B150" s="8" t="s">
        <v>319</v>
      </c>
      <c r="C150" s="8" t="s">
        <v>24</v>
      </c>
      <c r="D150" s="8" t="s">
        <v>36</v>
      </c>
      <c r="E150" s="8" t="s">
        <v>59</v>
      </c>
      <c r="F150" s="17">
        <v>46180</v>
      </c>
      <c r="G150" s="8">
        <v>9</v>
      </c>
      <c r="H150" s="8">
        <v>1</v>
      </c>
      <c r="I150" s="10">
        <v>280</v>
      </c>
      <c r="J150" s="10">
        <f t="shared" si="2"/>
        <v>2520</v>
      </c>
      <c r="K150" s="8" t="s">
        <v>60</v>
      </c>
    </row>
    <row r="151" spans="1:11" x14ac:dyDescent="0.3">
      <c r="A151" s="8" t="s">
        <v>320</v>
      </c>
      <c r="B151" s="8" t="s">
        <v>321</v>
      </c>
      <c r="C151" s="8" t="s">
        <v>26</v>
      </c>
      <c r="D151" s="8" t="s">
        <v>38</v>
      </c>
      <c r="E151" s="8" t="s">
        <v>69</v>
      </c>
      <c r="F151" s="17">
        <v>46201</v>
      </c>
      <c r="G151" s="8">
        <v>7</v>
      </c>
      <c r="H151" s="8">
        <v>3</v>
      </c>
      <c r="I151" s="10">
        <v>464</v>
      </c>
      <c r="J151" s="10">
        <f t="shared" si="2"/>
        <v>3248</v>
      </c>
      <c r="K151" s="8" t="s">
        <v>66</v>
      </c>
    </row>
    <row r="152" spans="1:11" x14ac:dyDescent="0.3">
      <c r="A152" s="8" t="s">
        <v>322</v>
      </c>
      <c r="B152" s="8" t="s">
        <v>323</v>
      </c>
      <c r="C152" s="8" t="s">
        <v>24</v>
      </c>
      <c r="D152" s="8" t="s">
        <v>34</v>
      </c>
      <c r="E152" s="8" t="s">
        <v>59</v>
      </c>
      <c r="F152" s="17">
        <v>46142</v>
      </c>
      <c r="G152" s="8">
        <v>6</v>
      </c>
      <c r="H152" s="8">
        <v>2</v>
      </c>
      <c r="I152" s="10">
        <v>216</v>
      </c>
      <c r="J152" s="10">
        <f t="shared" si="2"/>
        <v>1296</v>
      </c>
      <c r="K152" s="8" t="s">
        <v>60</v>
      </c>
    </row>
    <row r="153" spans="1:11" x14ac:dyDescent="0.3">
      <c r="A153" s="8" t="s">
        <v>324</v>
      </c>
      <c r="B153" s="8" t="s">
        <v>325</v>
      </c>
      <c r="C153" s="8" t="s">
        <v>26</v>
      </c>
      <c r="D153" s="8" t="s">
        <v>37</v>
      </c>
      <c r="E153" s="8" t="s">
        <v>69</v>
      </c>
      <c r="F153" s="17">
        <v>46123</v>
      </c>
      <c r="G153" s="8">
        <v>6</v>
      </c>
      <c r="H153" s="8">
        <v>1</v>
      </c>
      <c r="I153" s="10">
        <v>698</v>
      </c>
      <c r="J153" s="10">
        <f t="shared" si="2"/>
        <v>4188</v>
      </c>
      <c r="K153" s="8" t="s">
        <v>60</v>
      </c>
    </row>
    <row r="154" spans="1:11" x14ac:dyDescent="0.3">
      <c r="A154" s="8" t="s">
        <v>326</v>
      </c>
      <c r="B154" s="8" t="s">
        <v>182</v>
      </c>
      <c r="C154" s="8" t="s">
        <v>26</v>
      </c>
      <c r="D154" s="8" t="s">
        <v>34</v>
      </c>
      <c r="E154" s="8" t="s">
        <v>69</v>
      </c>
      <c r="F154" s="17">
        <v>46110</v>
      </c>
      <c r="G154" s="8">
        <v>2</v>
      </c>
      <c r="H154" s="8">
        <v>4</v>
      </c>
      <c r="I154" s="10">
        <v>616</v>
      </c>
      <c r="J154" s="10">
        <f t="shared" si="2"/>
        <v>1232</v>
      </c>
      <c r="K154" s="8" t="s">
        <v>60</v>
      </c>
    </row>
    <row r="155" spans="1:11" x14ac:dyDescent="0.3">
      <c r="A155" s="8" t="s">
        <v>327</v>
      </c>
      <c r="B155" s="8" t="s">
        <v>62</v>
      </c>
      <c r="C155" s="8" t="s">
        <v>26</v>
      </c>
      <c r="D155" s="8" t="s">
        <v>36</v>
      </c>
      <c r="E155" s="8" t="s">
        <v>63</v>
      </c>
      <c r="F155" s="17">
        <v>46064</v>
      </c>
      <c r="G155" s="8">
        <v>2</v>
      </c>
      <c r="H155" s="8">
        <v>1</v>
      </c>
      <c r="I155" s="10">
        <v>645</v>
      </c>
      <c r="J155" s="10">
        <f t="shared" si="2"/>
        <v>1290</v>
      </c>
      <c r="K155" s="8" t="s">
        <v>70</v>
      </c>
    </row>
    <row r="156" spans="1:11" x14ac:dyDescent="0.3">
      <c r="A156" s="8" t="s">
        <v>328</v>
      </c>
      <c r="B156" s="8" t="s">
        <v>329</v>
      </c>
      <c r="C156" s="8" t="s">
        <v>26</v>
      </c>
      <c r="D156" s="8" t="s">
        <v>36</v>
      </c>
      <c r="E156" s="8" t="s">
        <v>69</v>
      </c>
      <c r="F156" s="17">
        <v>46228</v>
      </c>
      <c r="G156" s="8">
        <v>4</v>
      </c>
      <c r="H156" s="8">
        <v>1</v>
      </c>
      <c r="I156" s="10">
        <v>575</v>
      </c>
      <c r="J156" s="10">
        <f t="shared" si="2"/>
        <v>2300</v>
      </c>
      <c r="K156" s="8" t="s">
        <v>70</v>
      </c>
    </row>
    <row r="157" spans="1:11" x14ac:dyDescent="0.3">
      <c r="A157" s="8" t="s">
        <v>330</v>
      </c>
      <c r="B157" s="8" t="s">
        <v>164</v>
      </c>
      <c r="C157" s="8" t="s">
        <v>27</v>
      </c>
      <c r="D157" s="8" t="s">
        <v>34</v>
      </c>
      <c r="E157" s="8" t="s">
        <v>69</v>
      </c>
      <c r="F157" s="17">
        <v>46092</v>
      </c>
      <c r="G157" s="8">
        <v>6</v>
      </c>
      <c r="H157" s="8">
        <v>2</v>
      </c>
      <c r="I157" s="10">
        <v>457</v>
      </c>
      <c r="J157" s="10">
        <f t="shared" si="2"/>
        <v>2742</v>
      </c>
      <c r="K157" s="8" t="s">
        <v>70</v>
      </c>
    </row>
    <row r="158" spans="1:11" x14ac:dyDescent="0.3">
      <c r="A158" s="8" t="s">
        <v>331</v>
      </c>
      <c r="B158" s="8" t="s">
        <v>119</v>
      </c>
      <c r="C158" s="8" t="s">
        <v>25</v>
      </c>
      <c r="D158" s="8" t="s">
        <v>34</v>
      </c>
      <c r="E158" s="8" t="s">
        <v>59</v>
      </c>
      <c r="F158" s="17">
        <v>46085</v>
      </c>
      <c r="G158" s="8">
        <v>9</v>
      </c>
      <c r="H158" s="8">
        <v>3</v>
      </c>
      <c r="I158" s="10">
        <v>113</v>
      </c>
      <c r="J158" s="10">
        <f t="shared" si="2"/>
        <v>1017</v>
      </c>
      <c r="K158" s="8" t="s">
        <v>60</v>
      </c>
    </row>
    <row r="159" spans="1:11" x14ac:dyDescent="0.3">
      <c r="A159" s="8" t="s">
        <v>332</v>
      </c>
      <c r="B159" s="8" t="s">
        <v>333</v>
      </c>
      <c r="C159" s="8" t="s">
        <v>27</v>
      </c>
      <c r="D159" s="8" t="s">
        <v>36</v>
      </c>
      <c r="E159" s="8" t="s">
        <v>59</v>
      </c>
      <c r="F159" s="17">
        <v>46171</v>
      </c>
      <c r="G159" s="8">
        <v>10</v>
      </c>
      <c r="H159" s="8">
        <v>3</v>
      </c>
      <c r="I159" s="10">
        <v>519</v>
      </c>
      <c r="J159" s="10">
        <f t="shared" si="2"/>
        <v>5190</v>
      </c>
      <c r="K159" s="8" t="s">
        <v>80</v>
      </c>
    </row>
    <row r="160" spans="1:11" x14ac:dyDescent="0.3">
      <c r="A160" s="8" t="s">
        <v>334</v>
      </c>
      <c r="B160" s="8" t="s">
        <v>72</v>
      </c>
      <c r="C160" s="8" t="s">
        <v>23</v>
      </c>
      <c r="D160" s="8" t="s">
        <v>34</v>
      </c>
      <c r="E160" s="8" t="s">
        <v>63</v>
      </c>
      <c r="F160" s="17">
        <v>46180</v>
      </c>
      <c r="G160" s="8">
        <v>10</v>
      </c>
      <c r="H160" s="8">
        <v>2</v>
      </c>
      <c r="I160" s="10">
        <v>259</v>
      </c>
      <c r="J160" s="10">
        <f t="shared" si="2"/>
        <v>2590</v>
      </c>
      <c r="K160" s="8" t="s">
        <v>66</v>
      </c>
    </row>
    <row r="161" spans="1:11" x14ac:dyDescent="0.3">
      <c r="A161" s="8" t="s">
        <v>335</v>
      </c>
      <c r="B161" s="8" t="s">
        <v>237</v>
      </c>
      <c r="C161" s="8" t="s">
        <v>27</v>
      </c>
      <c r="D161" s="8" t="s">
        <v>38</v>
      </c>
      <c r="E161" s="8" t="s">
        <v>59</v>
      </c>
      <c r="F161" s="17">
        <v>46083</v>
      </c>
      <c r="G161" s="8">
        <v>2</v>
      </c>
      <c r="H161" s="8">
        <v>1</v>
      </c>
      <c r="I161" s="10">
        <v>458</v>
      </c>
      <c r="J161" s="10">
        <f t="shared" si="2"/>
        <v>916</v>
      </c>
      <c r="K161" s="8" t="s">
        <v>60</v>
      </c>
    </row>
    <row r="162" spans="1:11" x14ac:dyDescent="0.3">
      <c r="A162" s="8" t="s">
        <v>336</v>
      </c>
      <c r="B162" s="8" t="s">
        <v>337</v>
      </c>
      <c r="C162" s="8" t="s">
        <v>23</v>
      </c>
      <c r="D162" s="8" t="s">
        <v>35</v>
      </c>
      <c r="E162" s="8" t="s">
        <v>69</v>
      </c>
      <c r="F162" s="17">
        <v>46071</v>
      </c>
      <c r="G162" s="8">
        <v>1</v>
      </c>
      <c r="H162" s="8">
        <v>3</v>
      </c>
      <c r="I162" s="10">
        <v>338</v>
      </c>
      <c r="J162" s="10">
        <f t="shared" si="2"/>
        <v>338</v>
      </c>
      <c r="K162" s="8" t="s">
        <v>80</v>
      </c>
    </row>
    <row r="163" spans="1:11" x14ac:dyDescent="0.3">
      <c r="A163" s="8" t="s">
        <v>338</v>
      </c>
      <c r="B163" s="8" t="s">
        <v>272</v>
      </c>
      <c r="C163" s="8" t="s">
        <v>27</v>
      </c>
      <c r="D163" s="8" t="s">
        <v>39</v>
      </c>
      <c r="E163" s="8" t="s">
        <v>69</v>
      </c>
      <c r="F163" s="17">
        <v>46035</v>
      </c>
      <c r="G163" s="8">
        <v>6</v>
      </c>
      <c r="H163" s="8">
        <v>4</v>
      </c>
      <c r="I163" s="10">
        <v>364</v>
      </c>
      <c r="J163" s="10">
        <f t="shared" si="2"/>
        <v>2184</v>
      </c>
      <c r="K163" s="8" t="s">
        <v>66</v>
      </c>
    </row>
    <row r="164" spans="1:11" x14ac:dyDescent="0.3">
      <c r="A164" s="8" t="s">
        <v>339</v>
      </c>
      <c r="B164" s="8" t="s">
        <v>240</v>
      </c>
      <c r="C164" s="8" t="s">
        <v>26</v>
      </c>
      <c r="D164" s="8" t="s">
        <v>35</v>
      </c>
      <c r="E164" s="8" t="s">
        <v>59</v>
      </c>
      <c r="F164" s="17">
        <v>46134</v>
      </c>
      <c r="G164" s="8">
        <v>6</v>
      </c>
      <c r="H164" s="8">
        <v>3</v>
      </c>
      <c r="I164" s="10">
        <v>511</v>
      </c>
      <c r="J164" s="10">
        <f t="shared" si="2"/>
        <v>3066</v>
      </c>
      <c r="K164" s="8" t="s">
        <v>66</v>
      </c>
    </row>
    <row r="165" spans="1:11" x14ac:dyDescent="0.3">
      <c r="A165" s="8" t="s">
        <v>340</v>
      </c>
      <c r="B165" s="8" t="s">
        <v>152</v>
      </c>
      <c r="C165" s="8" t="s">
        <v>26</v>
      </c>
      <c r="D165" s="8" t="s">
        <v>37</v>
      </c>
      <c r="E165" s="8" t="s">
        <v>63</v>
      </c>
      <c r="F165" s="17">
        <v>46167</v>
      </c>
      <c r="G165" s="8">
        <v>10</v>
      </c>
      <c r="H165" s="8">
        <v>1</v>
      </c>
      <c r="I165" s="10">
        <v>679</v>
      </c>
      <c r="J165" s="10">
        <f t="shared" si="2"/>
        <v>6790</v>
      </c>
      <c r="K165" s="8" t="s">
        <v>60</v>
      </c>
    </row>
    <row r="166" spans="1:11" x14ac:dyDescent="0.3">
      <c r="A166" s="8" t="s">
        <v>341</v>
      </c>
      <c r="B166" s="8" t="s">
        <v>154</v>
      </c>
      <c r="C166" s="8" t="s">
        <v>27</v>
      </c>
      <c r="D166" s="8" t="s">
        <v>34</v>
      </c>
      <c r="E166" s="8" t="s">
        <v>59</v>
      </c>
      <c r="F166" s="17">
        <v>46196</v>
      </c>
      <c r="G166" s="8">
        <v>10</v>
      </c>
      <c r="H166" s="8">
        <v>1</v>
      </c>
      <c r="I166" s="10">
        <v>450</v>
      </c>
      <c r="J166" s="10">
        <f t="shared" si="2"/>
        <v>4500</v>
      </c>
      <c r="K166" s="8" t="s">
        <v>60</v>
      </c>
    </row>
    <row r="167" spans="1:11" x14ac:dyDescent="0.3">
      <c r="A167" s="8" t="s">
        <v>342</v>
      </c>
      <c r="B167" s="8" t="s">
        <v>343</v>
      </c>
      <c r="C167" s="8" t="s">
        <v>27</v>
      </c>
      <c r="D167" s="8" t="s">
        <v>35</v>
      </c>
      <c r="E167" s="8" t="s">
        <v>59</v>
      </c>
      <c r="F167" s="17">
        <v>46121</v>
      </c>
      <c r="G167" s="8">
        <v>1</v>
      </c>
      <c r="H167" s="8">
        <v>2</v>
      </c>
      <c r="I167" s="10">
        <v>456</v>
      </c>
      <c r="J167" s="10">
        <f t="shared" si="2"/>
        <v>456</v>
      </c>
      <c r="K167" s="8" t="s">
        <v>60</v>
      </c>
    </row>
    <row r="168" spans="1:11" x14ac:dyDescent="0.3">
      <c r="A168" s="8" t="s">
        <v>344</v>
      </c>
      <c r="B168" s="8" t="s">
        <v>345</v>
      </c>
      <c r="C168" s="8" t="s">
        <v>24</v>
      </c>
      <c r="D168" s="8" t="s">
        <v>37</v>
      </c>
      <c r="E168" s="8" t="s">
        <v>63</v>
      </c>
      <c r="F168" s="17">
        <v>46092</v>
      </c>
      <c r="G168" s="8">
        <v>8</v>
      </c>
      <c r="H168" s="8">
        <v>4</v>
      </c>
      <c r="I168" s="10">
        <v>215</v>
      </c>
      <c r="J168" s="10">
        <f t="shared" si="2"/>
        <v>1720</v>
      </c>
      <c r="K168" s="8" t="s">
        <v>80</v>
      </c>
    </row>
    <row r="169" spans="1:11" x14ac:dyDescent="0.3">
      <c r="A169" s="8" t="s">
        <v>346</v>
      </c>
      <c r="B169" s="8" t="s">
        <v>132</v>
      </c>
      <c r="C169" s="8" t="s">
        <v>26</v>
      </c>
      <c r="D169" s="8" t="s">
        <v>38</v>
      </c>
      <c r="E169" s="8" t="s">
        <v>69</v>
      </c>
      <c r="F169" s="17">
        <v>46139</v>
      </c>
      <c r="G169" s="8">
        <v>1</v>
      </c>
      <c r="H169" s="8">
        <v>3</v>
      </c>
      <c r="I169" s="10">
        <v>670</v>
      </c>
      <c r="J169" s="10">
        <f t="shared" si="2"/>
        <v>670</v>
      </c>
      <c r="K169" s="8" t="s">
        <v>66</v>
      </c>
    </row>
    <row r="170" spans="1:11" x14ac:dyDescent="0.3">
      <c r="A170" s="8" t="s">
        <v>347</v>
      </c>
      <c r="B170" s="8" t="s">
        <v>348</v>
      </c>
      <c r="C170" s="8" t="s">
        <v>24</v>
      </c>
      <c r="D170" s="8" t="s">
        <v>35</v>
      </c>
      <c r="E170" s="8" t="s">
        <v>63</v>
      </c>
      <c r="F170" s="17">
        <v>46202</v>
      </c>
      <c r="G170" s="8">
        <v>2</v>
      </c>
      <c r="H170" s="8">
        <v>1</v>
      </c>
      <c r="I170" s="10">
        <v>259</v>
      </c>
      <c r="J170" s="10">
        <f t="shared" si="2"/>
        <v>518</v>
      </c>
      <c r="K170" s="8" t="s">
        <v>80</v>
      </c>
    </row>
    <row r="171" spans="1:11" x14ac:dyDescent="0.3">
      <c r="A171" s="8" t="s">
        <v>349</v>
      </c>
      <c r="B171" s="8" t="s">
        <v>350</v>
      </c>
      <c r="C171" s="8" t="s">
        <v>25</v>
      </c>
      <c r="D171" s="8" t="s">
        <v>37</v>
      </c>
      <c r="E171" s="8" t="s">
        <v>69</v>
      </c>
      <c r="F171" s="17">
        <v>46057</v>
      </c>
      <c r="G171" s="8">
        <v>9</v>
      </c>
      <c r="H171" s="8">
        <v>1</v>
      </c>
      <c r="I171" s="10">
        <v>133</v>
      </c>
      <c r="J171" s="10">
        <f t="shared" si="2"/>
        <v>1197</v>
      </c>
      <c r="K171" s="8" t="s">
        <v>60</v>
      </c>
    </row>
    <row r="172" spans="1:11" x14ac:dyDescent="0.3">
      <c r="A172" s="8" t="s">
        <v>351</v>
      </c>
      <c r="B172" s="8" t="s">
        <v>230</v>
      </c>
      <c r="C172" s="8" t="s">
        <v>27</v>
      </c>
      <c r="D172" s="8" t="s">
        <v>35</v>
      </c>
      <c r="E172" s="8" t="s">
        <v>69</v>
      </c>
      <c r="F172" s="17">
        <v>46026</v>
      </c>
      <c r="G172" s="8">
        <v>7</v>
      </c>
      <c r="H172" s="8">
        <v>3</v>
      </c>
      <c r="I172" s="10">
        <v>411</v>
      </c>
      <c r="J172" s="10">
        <f t="shared" si="2"/>
        <v>2877</v>
      </c>
      <c r="K172" s="8" t="s">
        <v>66</v>
      </c>
    </row>
    <row r="173" spans="1:11" x14ac:dyDescent="0.3">
      <c r="A173" s="8" t="s">
        <v>352</v>
      </c>
      <c r="B173" s="8" t="s">
        <v>232</v>
      </c>
      <c r="C173" s="8" t="s">
        <v>26</v>
      </c>
      <c r="D173" s="8" t="s">
        <v>35</v>
      </c>
      <c r="E173" s="8" t="s">
        <v>69</v>
      </c>
      <c r="F173" s="17">
        <v>46126</v>
      </c>
      <c r="G173" s="8">
        <v>5</v>
      </c>
      <c r="H173" s="8">
        <v>1</v>
      </c>
      <c r="I173" s="10">
        <v>477</v>
      </c>
      <c r="J173" s="10">
        <f t="shared" si="2"/>
        <v>2385</v>
      </c>
      <c r="K173" s="8" t="s">
        <v>60</v>
      </c>
    </row>
    <row r="174" spans="1:11" x14ac:dyDescent="0.3">
      <c r="A174" s="8" t="s">
        <v>353</v>
      </c>
      <c r="B174" s="8" t="s">
        <v>354</v>
      </c>
      <c r="C174" s="8" t="s">
        <v>26</v>
      </c>
      <c r="D174" s="8" t="s">
        <v>39</v>
      </c>
      <c r="E174" s="8" t="s">
        <v>63</v>
      </c>
      <c r="F174" s="17">
        <v>46210</v>
      </c>
      <c r="G174" s="8">
        <v>6</v>
      </c>
      <c r="H174" s="8">
        <v>1</v>
      </c>
      <c r="I174" s="10">
        <v>743</v>
      </c>
      <c r="J174" s="10">
        <f t="shared" si="2"/>
        <v>4458</v>
      </c>
      <c r="K174" s="8" t="s">
        <v>70</v>
      </c>
    </row>
    <row r="175" spans="1:11" x14ac:dyDescent="0.3">
      <c r="A175" s="8" t="s">
        <v>355</v>
      </c>
      <c r="B175" s="8" t="s">
        <v>356</v>
      </c>
      <c r="C175" s="8" t="s">
        <v>24</v>
      </c>
      <c r="D175" s="8" t="s">
        <v>39</v>
      </c>
      <c r="E175" s="8" t="s">
        <v>59</v>
      </c>
      <c r="F175" s="17">
        <v>46095</v>
      </c>
      <c r="G175" s="8">
        <v>2</v>
      </c>
      <c r="H175" s="8">
        <v>2</v>
      </c>
      <c r="I175" s="10">
        <v>246</v>
      </c>
      <c r="J175" s="10">
        <f t="shared" si="2"/>
        <v>492</v>
      </c>
      <c r="K175" s="8" t="s">
        <v>70</v>
      </c>
    </row>
    <row r="176" spans="1:11" x14ac:dyDescent="0.3">
      <c r="A176" s="8" t="s">
        <v>357</v>
      </c>
      <c r="B176" s="8" t="s">
        <v>358</v>
      </c>
      <c r="C176" s="8" t="s">
        <v>23</v>
      </c>
      <c r="D176" s="8" t="s">
        <v>35</v>
      </c>
      <c r="E176" s="8" t="s">
        <v>75</v>
      </c>
      <c r="F176" s="17">
        <v>46171</v>
      </c>
      <c r="G176" s="8">
        <v>6</v>
      </c>
      <c r="H176" s="8">
        <v>3</v>
      </c>
      <c r="I176" s="10">
        <v>375</v>
      </c>
      <c r="J176" s="10">
        <f t="shared" si="2"/>
        <v>2250</v>
      </c>
      <c r="K176" s="8" t="s">
        <v>60</v>
      </c>
    </row>
    <row r="177" spans="1:11" x14ac:dyDescent="0.3">
      <c r="A177" s="8" t="s">
        <v>359</v>
      </c>
      <c r="B177" s="8" t="s">
        <v>117</v>
      </c>
      <c r="C177" s="8" t="s">
        <v>25</v>
      </c>
      <c r="D177" s="8" t="s">
        <v>39</v>
      </c>
      <c r="E177" s="8" t="s">
        <v>63</v>
      </c>
      <c r="F177" s="17">
        <v>46243</v>
      </c>
      <c r="G177" s="8">
        <v>4</v>
      </c>
      <c r="H177" s="8">
        <v>4</v>
      </c>
      <c r="I177" s="10">
        <v>126</v>
      </c>
      <c r="J177" s="10">
        <f t="shared" si="2"/>
        <v>504</v>
      </c>
      <c r="K177" s="8" t="s">
        <v>66</v>
      </c>
    </row>
    <row r="178" spans="1:11" x14ac:dyDescent="0.3">
      <c r="A178" s="8" t="s">
        <v>360</v>
      </c>
      <c r="B178" s="8" t="s">
        <v>114</v>
      </c>
      <c r="C178" s="8" t="s">
        <v>25</v>
      </c>
      <c r="D178" s="8" t="s">
        <v>34</v>
      </c>
      <c r="E178" s="8" t="s">
        <v>59</v>
      </c>
      <c r="F178" s="17">
        <v>46133</v>
      </c>
      <c r="G178" s="8">
        <v>3</v>
      </c>
      <c r="H178" s="8">
        <v>4</v>
      </c>
      <c r="I178" s="10">
        <v>156</v>
      </c>
      <c r="J178" s="10">
        <f t="shared" si="2"/>
        <v>468</v>
      </c>
      <c r="K178" s="8" t="s">
        <v>60</v>
      </c>
    </row>
    <row r="179" spans="1:11" x14ac:dyDescent="0.3">
      <c r="A179" s="8" t="s">
        <v>361</v>
      </c>
      <c r="B179" s="8" t="s">
        <v>362</v>
      </c>
      <c r="C179" s="8" t="s">
        <v>26</v>
      </c>
      <c r="D179" s="8" t="s">
        <v>34</v>
      </c>
      <c r="E179" s="8" t="s">
        <v>69</v>
      </c>
      <c r="F179" s="17">
        <v>46233</v>
      </c>
      <c r="G179" s="8">
        <v>5</v>
      </c>
      <c r="H179" s="8">
        <v>2</v>
      </c>
      <c r="I179" s="10">
        <v>553</v>
      </c>
      <c r="J179" s="10">
        <f t="shared" si="2"/>
        <v>2765</v>
      </c>
      <c r="K179" s="8" t="s">
        <v>70</v>
      </c>
    </row>
    <row r="180" spans="1:11" x14ac:dyDescent="0.3">
      <c r="A180" s="8" t="s">
        <v>363</v>
      </c>
      <c r="B180" s="8" t="s">
        <v>364</v>
      </c>
      <c r="C180" s="8" t="s">
        <v>24</v>
      </c>
      <c r="D180" s="8" t="s">
        <v>34</v>
      </c>
      <c r="E180" s="8" t="s">
        <v>69</v>
      </c>
      <c r="F180" s="17">
        <v>46244</v>
      </c>
      <c r="G180" s="8">
        <v>3</v>
      </c>
      <c r="H180" s="8">
        <v>2</v>
      </c>
      <c r="I180" s="10">
        <v>236</v>
      </c>
      <c r="J180" s="10">
        <f t="shared" si="2"/>
        <v>708</v>
      </c>
      <c r="K180" s="8" t="s">
        <v>66</v>
      </c>
    </row>
    <row r="181" spans="1:11" x14ac:dyDescent="0.3">
      <c r="A181" s="8" t="s">
        <v>365</v>
      </c>
      <c r="B181" s="8" t="s">
        <v>366</v>
      </c>
      <c r="C181" s="8" t="s">
        <v>26</v>
      </c>
      <c r="D181" s="8" t="s">
        <v>34</v>
      </c>
      <c r="E181" s="8" t="s">
        <v>69</v>
      </c>
      <c r="F181" s="17">
        <v>46245</v>
      </c>
      <c r="G181" s="8">
        <v>6</v>
      </c>
      <c r="H181" s="8">
        <v>1</v>
      </c>
      <c r="I181" s="10">
        <v>715</v>
      </c>
      <c r="J181" s="10">
        <f t="shared" si="2"/>
        <v>4290</v>
      </c>
      <c r="K181" s="8" t="s">
        <v>66</v>
      </c>
    </row>
    <row r="182" spans="1:11" x14ac:dyDescent="0.3">
      <c r="A182" s="8" t="s">
        <v>367</v>
      </c>
      <c r="B182" s="8" t="s">
        <v>257</v>
      </c>
      <c r="C182" s="8" t="s">
        <v>25</v>
      </c>
      <c r="D182" s="8" t="s">
        <v>37</v>
      </c>
      <c r="E182" s="8" t="s">
        <v>63</v>
      </c>
      <c r="F182" s="17">
        <v>46133</v>
      </c>
      <c r="G182" s="8">
        <v>9</v>
      </c>
      <c r="H182" s="8">
        <v>2</v>
      </c>
      <c r="I182" s="10">
        <v>108</v>
      </c>
      <c r="J182" s="10">
        <f t="shared" si="2"/>
        <v>972</v>
      </c>
      <c r="K182" s="8" t="s">
        <v>60</v>
      </c>
    </row>
    <row r="183" spans="1:11" x14ac:dyDescent="0.3">
      <c r="A183" s="8" t="s">
        <v>368</v>
      </c>
      <c r="B183" s="8" t="s">
        <v>369</v>
      </c>
      <c r="C183" s="8" t="s">
        <v>24</v>
      </c>
      <c r="D183" s="8" t="s">
        <v>38</v>
      </c>
      <c r="E183" s="8" t="s">
        <v>75</v>
      </c>
      <c r="F183" s="17">
        <v>46220</v>
      </c>
      <c r="G183" s="8">
        <v>8</v>
      </c>
      <c r="H183" s="8">
        <v>4</v>
      </c>
      <c r="I183" s="10">
        <v>194</v>
      </c>
      <c r="J183" s="10">
        <f t="shared" si="2"/>
        <v>1552</v>
      </c>
      <c r="K183" s="8" t="s">
        <v>60</v>
      </c>
    </row>
    <row r="184" spans="1:11" x14ac:dyDescent="0.3">
      <c r="A184" s="8" t="s">
        <v>370</v>
      </c>
      <c r="B184" s="8" t="s">
        <v>166</v>
      </c>
      <c r="C184" s="8" t="s">
        <v>26</v>
      </c>
      <c r="D184" s="8" t="s">
        <v>35</v>
      </c>
      <c r="E184" s="8" t="s">
        <v>75</v>
      </c>
      <c r="F184" s="17">
        <v>46055</v>
      </c>
      <c r="G184" s="8">
        <v>4</v>
      </c>
      <c r="H184" s="8">
        <v>4</v>
      </c>
      <c r="I184" s="10">
        <v>651</v>
      </c>
      <c r="J184" s="10">
        <f t="shared" si="2"/>
        <v>2604</v>
      </c>
      <c r="K184" s="8" t="s">
        <v>66</v>
      </c>
    </row>
    <row r="185" spans="1:11" x14ac:dyDescent="0.3">
      <c r="A185" s="8" t="s">
        <v>371</v>
      </c>
      <c r="B185" s="8" t="s">
        <v>269</v>
      </c>
      <c r="C185" s="8" t="s">
        <v>24</v>
      </c>
      <c r="D185" s="8" t="s">
        <v>39</v>
      </c>
      <c r="E185" s="8" t="s">
        <v>69</v>
      </c>
      <c r="F185" s="17">
        <v>46105</v>
      </c>
      <c r="G185" s="8">
        <v>9</v>
      </c>
      <c r="H185" s="8">
        <v>2</v>
      </c>
      <c r="I185" s="10">
        <v>259</v>
      </c>
      <c r="J185" s="10">
        <f t="shared" si="2"/>
        <v>2331</v>
      </c>
      <c r="K185" s="8" t="s">
        <v>66</v>
      </c>
    </row>
    <row r="186" spans="1:11" x14ac:dyDescent="0.3">
      <c r="A186" s="8" t="s">
        <v>372</v>
      </c>
      <c r="B186" s="8" t="s">
        <v>319</v>
      </c>
      <c r="C186" s="8" t="s">
        <v>26</v>
      </c>
      <c r="D186" s="8" t="s">
        <v>37</v>
      </c>
      <c r="E186" s="8" t="s">
        <v>59</v>
      </c>
      <c r="F186" s="17">
        <v>46239</v>
      </c>
      <c r="G186" s="8">
        <v>7</v>
      </c>
      <c r="H186" s="8">
        <v>1</v>
      </c>
      <c r="I186" s="10">
        <v>455</v>
      </c>
      <c r="J186" s="10">
        <f t="shared" si="2"/>
        <v>3185</v>
      </c>
      <c r="K186" s="8" t="s">
        <v>60</v>
      </c>
    </row>
    <row r="187" spans="1:11" x14ac:dyDescent="0.3">
      <c r="A187" s="8" t="s">
        <v>373</v>
      </c>
      <c r="B187" s="8" t="s">
        <v>211</v>
      </c>
      <c r="C187" s="8" t="s">
        <v>24</v>
      </c>
      <c r="D187" s="8" t="s">
        <v>38</v>
      </c>
      <c r="E187" s="8" t="s">
        <v>69</v>
      </c>
      <c r="F187" s="17">
        <v>46059</v>
      </c>
      <c r="G187" s="8">
        <v>7</v>
      </c>
      <c r="H187" s="8">
        <v>3</v>
      </c>
      <c r="I187" s="10">
        <v>190</v>
      </c>
      <c r="J187" s="10">
        <f t="shared" si="2"/>
        <v>1330</v>
      </c>
      <c r="K187" s="8" t="s">
        <v>80</v>
      </c>
    </row>
    <row r="188" spans="1:11" x14ac:dyDescent="0.3">
      <c r="A188" s="8" t="s">
        <v>374</v>
      </c>
      <c r="B188" s="8" t="s">
        <v>375</v>
      </c>
      <c r="C188" s="8" t="s">
        <v>23</v>
      </c>
      <c r="D188" s="8" t="s">
        <v>37</v>
      </c>
      <c r="E188" s="8" t="s">
        <v>69</v>
      </c>
      <c r="F188" s="17">
        <v>46113</v>
      </c>
      <c r="G188" s="8">
        <v>10</v>
      </c>
      <c r="H188" s="8">
        <v>2</v>
      </c>
      <c r="I188" s="10">
        <v>279</v>
      </c>
      <c r="J188" s="10">
        <f t="shared" si="2"/>
        <v>2790</v>
      </c>
      <c r="K188" s="8" t="s">
        <v>60</v>
      </c>
    </row>
    <row r="189" spans="1:11" x14ac:dyDescent="0.3">
      <c r="A189" s="8" t="s">
        <v>376</v>
      </c>
      <c r="B189" s="8" t="s">
        <v>377</v>
      </c>
      <c r="C189" s="8" t="s">
        <v>26</v>
      </c>
      <c r="D189" s="8" t="s">
        <v>39</v>
      </c>
      <c r="E189" s="8" t="s">
        <v>69</v>
      </c>
      <c r="F189" s="17">
        <v>46210</v>
      </c>
      <c r="G189" s="8">
        <v>7</v>
      </c>
      <c r="H189" s="8">
        <v>1</v>
      </c>
      <c r="I189" s="10">
        <v>728</v>
      </c>
      <c r="J189" s="10">
        <f t="shared" si="2"/>
        <v>5096</v>
      </c>
      <c r="K189" s="8" t="s">
        <v>66</v>
      </c>
    </row>
    <row r="190" spans="1:11" x14ac:dyDescent="0.3">
      <c r="A190" s="8" t="s">
        <v>378</v>
      </c>
      <c r="B190" s="8" t="s">
        <v>366</v>
      </c>
      <c r="C190" s="8" t="s">
        <v>24</v>
      </c>
      <c r="D190" s="8" t="s">
        <v>35</v>
      </c>
      <c r="E190" s="8" t="s">
        <v>69</v>
      </c>
      <c r="F190" s="17">
        <v>46091</v>
      </c>
      <c r="G190" s="8">
        <v>10</v>
      </c>
      <c r="H190" s="8">
        <v>4</v>
      </c>
      <c r="I190" s="10">
        <v>267</v>
      </c>
      <c r="J190" s="10">
        <f t="shared" si="2"/>
        <v>2670</v>
      </c>
      <c r="K190" s="8" t="s">
        <v>70</v>
      </c>
    </row>
    <row r="191" spans="1:11" x14ac:dyDescent="0.3">
      <c r="A191" s="8" t="s">
        <v>379</v>
      </c>
      <c r="B191" s="8" t="s">
        <v>117</v>
      </c>
      <c r="C191" s="8" t="s">
        <v>23</v>
      </c>
      <c r="D191" s="8" t="s">
        <v>35</v>
      </c>
      <c r="E191" s="8" t="s">
        <v>69</v>
      </c>
      <c r="F191" s="17">
        <v>46227</v>
      </c>
      <c r="G191" s="8">
        <v>7</v>
      </c>
      <c r="H191" s="8">
        <v>4</v>
      </c>
      <c r="I191" s="10">
        <v>340</v>
      </c>
      <c r="J191" s="10">
        <f t="shared" si="2"/>
        <v>2380</v>
      </c>
      <c r="K191" s="8" t="s">
        <v>66</v>
      </c>
    </row>
    <row r="192" spans="1:11" x14ac:dyDescent="0.3">
      <c r="A192" s="8" t="s">
        <v>380</v>
      </c>
      <c r="B192" s="8" t="s">
        <v>337</v>
      </c>
      <c r="C192" s="8" t="s">
        <v>26</v>
      </c>
      <c r="D192" s="8" t="s">
        <v>38</v>
      </c>
      <c r="E192" s="8" t="s">
        <v>63</v>
      </c>
      <c r="F192" s="17">
        <v>46115</v>
      </c>
      <c r="G192" s="8">
        <v>9</v>
      </c>
      <c r="H192" s="8">
        <v>2</v>
      </c>
      <c r="I192" s="10">
        <v>465</v>
      </c>
      <c r="J192" s="10">
        <f t="shared" si="2"/>
        <v>4185</v>
      </c>
      <c r="K192" s="8" t="s">
        <v>70</v>
      </c>
    </row>
    <row r="193" spans="1:11" x14ac:dyDescent="0.3">
      <c r="A193" s="8" t="s">
        <v>381</v>
      </c>
      <c r="B193" s="8" t="s">
        <v>382</v>
      </c>
      <c r="C193" s="8" t="s">
        <v>25</v>
      </c>
      <c r="D193" s="8" t="s">
        <v>38</v>
      </c>
      <c r="E193" s="8" t="s">
        <v>63</v>
      </c>
      <c r="F193" s="17">
        <v>46047</v>
      </c>
      <c r="G193" s="8">
        <v>4</v>
      </c>
      <c r="H193" s="8">
        <v>3</v>
      </c>
      <c r="I193" s="10">
        <v>137</v>
      </c>
      <c r="J193" s="10">
        <f t="shared" si="2"/>
        <v>548</v>
      </c>
      <c r="K193" s="8" t="s">
        <v>70</v>
      </c>
    </row>
    <row r="194" spans="1:11" x14ac:dyDescent="0.3">
      <c r="A194" s="8" t="s">
        <v>383</v>
      </c>
      <c r="B194" s="8" t="s">
        <v>348</v>
      </c>
      <c r="C194" s="8" t="s">
        <v>25</v>
      </c>
      <c r="D194" s="8" t="s">
        <v>34</v>
      </c>
      <c r="E194" s="8" t="s">
        <v>75</v>
      </c>
      <c r="F194" s="17">
        <v>46193</v>
      </c>
      <c r="G194" s="8">
        <v>10</v>
      </c>
      <c r="H194" s="8">
        <v>3</v>
      </c>
      <c r="I194" s="10">
        <v>115</v>
      </c>
      <c r="J194" s="10">
        <f t="shared" ref="J194:J257" si="3">G194*I194</f>
        <v>1150</v>
      </c>
      <c r="K194" s="8" t="s">
        <v>66</v>
      </c>
    </row>
    <row r="195" spans="1:11" x14ac:dyDescent="0.3">
      <c r="A195" s="8" t="s">
        <v>384</v>
      </c>
      <c r="B195" s="8" t="s">
        <v>274</v>
      </c>
      <c r="C195" s="8" t="s">
        <v>24</v>
      </c>
      <c r="D195" s="8" t="s">
        <v>34</v>
      </c>
      <c r="E195" s="8" t="s">
        <v>59</v>
      </c>
      <c r="F195" s="17">
        <v>46030</v>
      </c>
      <c r="G195" s="8">
        <v>2</v>
      </c>
      <c r="H195" s="8">
        <v>3</v>
      </c>
      <c r="I195" s="10">
        <v>198</v>
      </c>
      <c r="J195" s="10">
        <f t="shared" si="3"/>
        <v>396</v>
      </c>
      <c r="K195" s="8" t="s">
        <v>80</v>
      </c>
    </row>
    <row r="196" spans="1:11" x14ac:dyDescent="0.3">
      <c r="A196" s="8" t="s">
        <v>385</v>
      </c>
      <c r="B196" s="8" t="s">
        <v>237</v>
      </c>
      <c r="C196" s="8" t="s">
        <v>27</v>
      </c>
      <c r="D196" s="8" t="s">
        <v>35</v>
      </c>
      <c r="E196" s="8" t="s">
        <v>63</v>
      </c>
      <c r="F196" s="17">
        <v>46089</v>
      </c>
      <c r="G196" s="8">
        <v>10</v>
      </c>
      <c r="H196" s="8">
        <v>1</v>
      </c>
      <c r="I196" s="10">
        <v>356</v>
      </c>
      <c r="J196" s="10">
        <f t="shared" si="3"/>
        <v>3560</v>
      </c>
      <c r="K196" s="8" t="s">
        <v>60</v>
      </c>
    </row>
    <row r="197" spans="1:11" x14ac:dyDescent="0.3">
      <c r="A197" s="8" t="s">
        <v>386</v>
      </c>
      <c r="B197" s="8" t="s">
        <v>222</v>
      </c>
      <c r="C197" s="8" t="s">
        <v>23</v>
      </c>
      <c r="D197" s="8" t="s">
        <v>38</v>
      </c>
      <c r="E197" s="8" t="s">
        <v>69</v>
      </c>
      <c r="F197" s="17">
        <v>46053</v>
      </c>
      <c r="G197" s="8">
        <v>3</v>
      </c>
      <c r="H197" s="8">
        <v>2</v>
      </c>
      <c r="I197" s="10">
        <v>346</v>
      </c>
      <c r="J197" s="10">
        <f t="shared" si="3"/>
        <v>1038</v>
      </c>
      <c r="K197" s="8" t="s">
        <v>66</v>
      </c>
    </row>
    <row r="198" spans="1:11" x14ac:dyDescent="0.3">
      <c r="A198" s="8" t="s">
        <v>387</v>
      </c>
      <c r="B198" s="8" t="s">
        <v>388</v>
      </c>
      <c r="C198" s="8" t="s">
        <v>24</v>
      </c>
      <c r="D198" s="8" t="s">
        <v>37</v>
      </c>
      <c r="E198" s="8" t="s">
        <v>63</v>
      </c>
      <c r="F198" s="17">
        <v>46233</v>
      </c>
      <c r="G198" s="8">
        <v>1</v>
      </c>
      <c r="H198" s="8">
        <v>4</v>
      </c>
      <c r="I198" s="10">
        <v>225</v>
      </c>
      <c r="J198" s="10">
        <f t="shared" si="3"/>
        <v>225</v>
      </c>
      <c r="K198" s="8" t="s">
        <v>60</v>
      </c>
    </row>
    <row r="199" spans="1:11" x14ac:dyDescent="0.3">
      <c r="A199" s="8" t="s">
        <v>389</v>
      </c>
      <c r="B199" s="8" t="s">
        <v>390</v>
      </c>
      <c r="C199" s="8" t="s">
        <v>26</v>
      </c>
      <c r="D199" s="8" t="s">
        <v>34</v>
      </c>
      <c r="E199" s="8" t="s">
        <v>69</v>
      </c>
      <c r="F199" s="17">
        <v>46231</v>
      </c>
      <c r="G199" s="8">
        <v>4</v>
      </c>
      <c r="H199" s="8">
        <v>3</v>
      </c>
      <c r="I199" s="10">
        <v>636</v>
      </c>
      <c r="J199" s="10">
        <f t="shared" si="3"/>
        <v>2544</v>
      </c>
      <c r="K199" s="8" t="s">
        <v>60</v>
      </c>
    </row>
    <row r="200" spans="1:11" x14ac:dyDescent="0.3">
      <c r="A200" s="8" t="s">
        <v>391</v>
      </c>
      <c r="B200" s="8" t="s">
        <v>235</v>
      </c>
      <c r="C200" s="8" t="s">
        <v>23</v>
      </c>
      <c r="D200" s="8" t="s">
        <v>34</v>
      </c>
      <c r="E200" s="8" t="s">
        <v>69</v>
      </c>
      <c r="F200" s="17">
        <v>46109</v>
      </c>
      <c r="G200" s="8">
        <v>3</v>
      </c>
      <c r="H200" s="8">
        <v>3</v>
      </c>
      <c r="I200" s="10">
        <v>313</v>
      </c>
      <c r="J200" s="10">
        <f t="shared" si="3"/>
        <v>939</v>
      </c>
      <c r="K200" s="8" t="s">
        <v>70</v>
      </c>
    </row>
    <row r="201" spans="1:11" x14ac:dyDescent="0.3">
      <c r="A201" s="8" t="s">
        <v>392</v>
      </c>
      <c r="B201" s="8" t="s">
        <v>393</v>
      </c>
      <c r="C201" s="8" t="s">
        <v>23</v>
      </c>
      <c r="D201" s="8" t="s">
        <v>35</v>
      </c>
      <c r="E201" s="8" t="s">
        <v>63</v>
      </c>
      <c r="F201" s="17">
        <v>46251</v>
      </c>
      <c r="G201" s="8">
        <v>9</v>
      </c>
      <c r="H201" s="8">
        <v>2</v>
      </c>
      <c r="I201" s="10">
        <v>273</v>
      </c>
      <c r="J201" s="10">
        <f t="shared" si="3"/>
        <v>2457</v>
      </c>
      <c r="K201" s="8" t="s">
        <v>60</v>
      </c>
    </row>
    <row r="202" spans="1:11" x14ac:dyDescent="0.3">
      <c r="A202" s="8" t="s">
        <v>394</v>
      </c>
      <c r="B202" s="8" t="s">
        <v>182</v>
      </c>
      <c r="C202" s="8" t="s">
        <v>26</v>
      </c>
      <c r="D202" s="8" t="s">
        <v>34</v>
      </c>
      <c r="E202" s="8" t="s">
        <v>69</v>
      </c>
      <c r="F202" s="17">
        <v>46121</v>
      </c>
      <c r="G202" s="8">
        <v>10</v>
      </c>
      <c r="H202" s="8">
        <v>2</v>
      </c>
      <c r="I202" s="10">
        <v>517</v>
      </c>
      <c r="J202" s="10">
        <f t="shared" si="3"/>
        <v>5170</v>
      </c>
      <c r="K202" s="8" t="s">
        <v>60</v>
      </c>
    </row>
    <row r="203" spans="1:11" x14ac:dyDescent="0.3">
      <c r="A203" s="8" t="s">
        <v>395</v>
      </c>
      <c r="B203" s="8" t="s">
        <v>281</v>
      </c>
      <c r="C203" s="8" t="s">
        <v>23</v>
      </c>
      <c r="D203" s="8" t="s">
        <v>35</v>
      </c>
      <c r="E203" s="8" t="s">
        <v>75</v>
      </c>
      <c r="F203" s="17">
        <v>46189</v>
      </c>
      <c r="G203" s="8">
        <v>6</v>
      </c>
      <c r="H203" s="8">
        <v>4</v>
      </c>
      <c r="I203" s="10">
        <v>385</v>
      </c>
      <c r="J203" s="10">
        <f t="shared" si="3"/>
        <v>2310</v>
      </c>
      <c r="K203" s="8" t="s">
        <v>70</v>
      </c>
    </row>
    <row r="204" spans="1:11" x14ac:dyDescent="0.3">
      <c r="A204" s="8" t="s">
        <v>396</v>
      </c>
      <c r="B204" s="8" t="s">
        <v>224</v>
      </c>
      <c r="C204" s="8" t="s">
        <v>23</v>
      </c>
      <c r="D204" s="8" t="s">
        <v>39</v>
      </c>
      <c r="E204" s="8" t="s">
        <v>59</v>
      </c>
      <c r="F204" s="17">
        <v>46224</v>
      </c>
      <c r="G204" s="8">
        <v>1</v>
      </c>
      <c r="H204" s="8">
        <v>4</v>
      </c>
      <c r="I204" s="10">
        <v>353</v>
      </c>
      <c r="J204" s="10">
        <f t="shared" si="3"/>
        <v>353</v>
      </c>
      <c r="K204" s="8" t="s">
        <v>66</v>
      </c>
    </row>
    <row r="205" spans="1:11" x14ac:dyDescent="0.3">
      <c r="A205" s="8" t="s">
        <v>397</v>
      </c>
      <c r="B205" s="8" t="s">
        <v>398</v>
      </c>
      <c r="C205" s="8" t="s">
        <v>23</v>
      </c>
      <c r="D205" s="8" t="s">
        <v>38</v>
      </c>
      <c r="E205" s="8" t="s">
        <v>75</v>
      </c>
      <c r="F205" s="17">
        <v>46126</v>
      </c>
      <c r="G205" s="8">
        <v>7</v>
      </c>
      <c r="H205" s="8">
        <v>3</v>
      </c>
      <c r="I205" s="10">
        <v>322</v>
      </c>
      <c r="J205" s="10">
        <f t="shared" si="3"/>
        <v>2254</v>
      </c>
      <c r="K205" s="8" t="s">
        <v>66</v>
      </c>
    </row>
    <row r="206" spans="1:11" x14ac:dyDescent="0.3">
      <c r="A206" s="8" t="s">
        <v>399</v>
      </c>
      <c r="B206" s="8" t="s">
        <v>400</v>
      </c>
      <c r="C206" s="8" t="s">
        <v>23</v>
      </c>
      <c r="D206" s="8" t="s">
        <v>39</v>
      </c>
      <c r="E206" s="8" t="s">
        <v>75</v>
      </c>
      <c r="F206" s="17">
        <v>46134</v>
      </c>
      <c r="G206" s="8">
        <v>6</v>
      </c>
      <c r="H206" s="8">
        <v>3</v>
      </c>
      <c r="I206" s="10">
        <v>251</v>
      </c>
      <c r="J206" s="10">
        <f t="shared" si="3"/>
        <v>1506</v>
      </c>
      <c r="K206" s="8" t="s">
        <v>80</v>
      </c>
    </row>
    <row r="207" spans="1:11" x14ac:dyDescent="0.3">
      <c r="A207" s="8" t="s">
        <v>401</v>
      </c>
      <c r="B207" s="8" t="s">
        <v>232</v>
      </c>
      <c r="C207" s="8" t="s">
        <v>24</v>
      </c>
      <c r="D207" s="8" t="s">
        <v>36</v>
      </c>
      <c r="E207" s="8" t="s">
        <v>63</v>
      </c>
      <c r="F207" s="17">
        <v>46212</v>
      </c>
      <c r="G207" s="8">
        <v>3</v>
      </c>
      <c r="H207" s="8">
        <v>4</v>
      </c>
      <c r="I207" s="10">
        <v>204</v>
      </c>
      <c r="J207" s="10">
        <f t="shared" si="3"/>
        <v>612</v>
      </c>
      <c r="K207" s="8" t="s">
        <v>70</v>
      </c>
    </row>
    <row r="208" spans="1:11" x14ac:dyDescent="0.3">
      <c r="A208" s="8" t="s">
        <v>402</v>
      </c>
      <c r="B208" s="8" t="s">
        <v>403</v>
      </c>
      <c r="C208" s="8" t="s">
        <v>25</v>
      </c>
      <c r="D208" s="8" t="s">
        <v>37</v>
      </c>
      <c r="E208" s="8" t="s">
        <v>63</v>
      </c>
      <c r="F208" s="17">
        <v>46193</v>
      </c>
      <c r="G208" s="8">
        <v>4</v>
      </c>
      <c r="H208" s="8">
        <v>3</v>
      </c>
      <c r="I208" s="10">
        <v>159</v>
      </c>
      <c r="J208" s="10">
        <f t="shared" si="3"/>
        <v>636</v>
      </c>
      <c r="K208" s="8" t="s">
        <v>70</v>
      </c>
    </row>
    <row r="209" spans="1:11" x14ac:dyDescent="0.3">
      <c r="A209" s="8" t="s">
        <v>404</v>
      </c>
      <c r="B209" s="8" t="s">
        <v>405</v>
      </c>
      <c r="C209" s="8" t="s">
        <v>25</v>
      </c>
      <c r="D209" s="8" t="s">
        <v>37</v>
      </c>
      <c r="E209" s="8" t="s">
        <v>59</v>
      </c>
      <c r="F209" s="17">
        <v>46028</v>
      </c>
      <c r="G209" s="8">
        <v>3</v>
      </c>
      <c r="H209" s="8">
        <v>1</v>
      </c>
      <c r="I209" s="10">
        <v>123</v>
      </c>
      <c r="J209" s="10">
        <f t="shared" si="3"/>
        <v>369</v>
      </c>
      <c r="K209" s="8" t="s">
        <v>66</v>
      </c>
    </row>
    <row r="210" spans="1:11" x14ac:dyDescent="0.3">
      <c r="A210" s="8" t="s">
        <v>406</v>
      </c>
      <c r="B210" s="8" t="s">
        <v>319</v>
      </c>
      <c r="C210" s="8" t="s">
        <v>26</v>
      </c>
      <c r="D210" s="8" t="s">
        <v>36</v>
      </c>
      <c r="E210" s="8" t="s">
        <v>59</v>
      </c>
      <c r="F210" s="17">
        <v>46170</v>
      </c>
      <c r="G210" s="8">
        <v>9</v>
      </c>
      <c r="H210" s="8">
        <v>1</v>
      </c>
      <c r="I210" s="10">
        <v>595</v>
      </c>
      <c r="J210" s="10">
        <f t="shared" si="3"/>
        <v>5355</v>
      </c>
      <c r="K210" s="8" t="s">
        <v>60</v>
      </c>
    </row>
    <row r="211" spans="1:11" x14ac:dyDescent="0.3">
      <c r="A211" s="8" t="s">
        <v>407</v>
      </c>
      <c r="B211" s="8" t="s">
        <v>310</v>
      </c>
      <c r="C211" s="8" t="s">
        <v>26</v>
      </c>
      <c r="D211" s="8" t="s">
        <v>37</v>
      </c>
      <c r="E211" s="8" t="s">
        <v>69</v>
      </c>
      <c r="F211" s="17">
        <v>46154</v>
      </c>
      <c r="G211" s="8">
        <v>4</v>
      </c>
      <c r="H211" s="8">
        <v>2</v>
      </c>
      <c r="I211" s="10">
        <v>539</v>
      </c>
      <c r="J211" s="10">
        <f t="shared" si="3"/>
        <v>2156</v>
      </c>
      <c r="K211" s="8" t="s">
        <v>70</v>
      </c>
    </row>
    <row r="212" spans="1:11" x14ac:dyDescent="0.3">
      <c r="A212" s="8" t="s">
        <v>408</v>
      </c>
      <c r="B212" s="8" t="s">
        <v>162</v>
      </c>
      <c r="C212" s="8" t="s">
        <v>25</v>
      </c>
      <c r="D212" s="8" t="s">
        <v>38</v>
      </c>
      <c r="E212" s="8" t="s">
        <v>59</v>
      </c>
      <c r="F212" s="17">
        <v>46091</v>
      </c>
      <c r="G212" s="8">
        <v>3</v>
      </c>
      <c r="H212" s="8">
        <v>4</v>
      </c>
      <c r="I212" s="10">
        <v>118</v>
      </c>
      <c r="J212" s="10">
        <f t="shared" si="3"/>
        <v>354</v>
      </c>
      <c r="K212" s="8" t="s">
        <v>70</v>
      </c>
    </row>
    <row r="213" spans="1:11" x14ac:dyDescent="0.3">
      <c r="A213" s="8" t="s">
        <v>409</v>
      </c>
      <c r="B213" s="8" t="s">
        <v>410</v>
      </c>
      <c r="C213" s="8" t="s">
        <v>26</v>
      </c>
      <c r="D213" s="8" t="s">
        <v>39</v>
      </c>
      <c r="E213" s="8" t="s">
        <v>59</v>
      </c>
      <c r="F213" s="17">
        <v>46125</v>
      </c>
      <c r="G213" s="8">
        <v>6</v>
      </c>
      <c r="H213" s="8">
        <v>2</v>
      </c>
      <c r="I213" s="10">
        <v>693</v>
      </c>
      <c r="J213" s="10">
        <f t="shared" si="3"/>
        <v>4158</v>
      </c>
      <c r="K213" s="8" t="s">
        <v>66</v>
      </c>
    </row>
    <row r="214" spans="1:11" x14ac:dyDescent="0.3">
      <c r="A214" s="8" t="s">
        <v>411</v>
      </c>
      <c r="B214" s="8" t="s">
        <v>412</v>
      </c>
      <c r="C214" s="8" t="s">
        <v>27</v>
      </c>
      <c r="D214" s="8" t="s">
        <v>34</v>
      </c>
      <c r="E214" s="8" t="s">
        <v>69</v>
      </c>
      <c r="F214" s="17">
        <v>46141</v>
      </c>
      <c r="G214" s="8">
        <v>9</v>
      </c>
      <c r="H214" s="8">
        <v>1</v>
      </c>
      <c r="I214" s="10">
        <v>398</v>
      </c>
      <c r="J214" s="10">
        <f t="shared" si="3"/>
        <v>3582</v>
      </c>
      <c r="K214" s="8" t="s">
        <v>60</v>
      </c>
    </row>
    <row r="215" spans="1:11" x14ac:dyDescent="0.3">
      <c r="A215" s="8" t="s">
        <v>413</v>
      </c>
      <c r="B215" s="8" t="s">
        <v>283</v>
      </c>
      <c r="C215" s="8" t="s">
        <v>23</v>
      </c>
      <c r="D215" s="8" t="s">
        <v>35</v>
      </c>
      <c r="E215" s="8" t="s">
        <v>59</v>
      </c>
      <c r="F215" s="17">
        <v>46038</v>
      </c>
      <c r="G215" s="8">
        <v>2</v>
      </c>
      <c r="H215" s="8">
        <v>2</v>
      </c>
      <c r="I215" s="10">
        <v>260</v>
      </c>
      <c r="J215" s="10">
        <f t="shared" si="3"/>
        <v>520</v>
      </c>
      <c r="K215" s="8" t="s">
        <v>60</v>
      </c>
    </row>
    <row r="216" spans="1:11" x14ac:dyDescent="0.3">
      <c r="A216" s="8" t="s">
        <v>414</v>
      </c>
      <c r="B216" s="8" t="s">
        <v>94</v>
      </c>
      <c r="C216" s="8" t="s">
        <v>26</v>
      </c>
      <c r="D216" s="8" t="s">
        <v>37</v>
      </c>
      <c r="E216" s="8" t="s">
        <v>59</v>
      </c>
      <c r="F216" s="17">
        <v>46244</v>
      </c>
      <c r="G216" s="8">
        <v>9</v>
      </c>
      <c r="H216" s="8">
        <v>4</v>
      </c>
      <c r="I216" s="10">
        <v>731</v>
      </c>
      <c r="J216" s="10">
        <f t="shared" si="3"/>
        <v>6579</v>
      </c>
      <c r="K216" s="8" t="s">
        <v>70</v>
      </c>
    </row>
    <row r="217" spans="1:11" x14ac:dyDescent="0.3">
      <c r="A217" s="8" t="s">
        <v>415</v>
      </c>
      <c r="B217" s="8" t="s">
        <v>416</v>
      </c>
      <c r="C217" s="8" t="s">
        <v>27</v>
      </c>
      <c r="D217" s="8" t="s">
        <v>37</v>
      </c>
      <c r="E217" s="8" t="s">
        <v>75</v>
      </c>
      <c r="F217" s="17">
        <v>46124</v>
      </c>
      <c r="G217" s="8">
        <v>1</v>
      </c>
      <c r="H217" s="8">
        <v>2</v>
      </c>
      <c r="I217" s="10">
        <v>530</v>
      </c>
      <c r="J217" s="10">
        <f t="shared" si="3"/>
        <v>530</v>
      </c>
      <c r="K217" s="8" t="s">
        <v>66</v>
      </c>
    </row>
    <row r="218" spans="1:11" x14ac:dyDescent="0.3">
      <c r="A218" s="8" t="s">
        <v>417</v>
      </c>
      <c r="B218" s="8" t="s">
        <v>418</v>
      </c>
      <c r="C218" s="8" t="s">
        <v>26</v>
      </c>
      <c r="D218" s="8" t="s">
        <v>36</v>
      </c>
      <c r="E218" s="8" t="s">
        <v>75</v>
      </c>
      <c r="F218" s="17">
        <v>46212</v>
      </c>
      <c r="G218" s="8">
        <v>4</v>
      </c>
      <c r="H218" s="8">
        <v>1</v>
      </c>
      <c r="I218" s="10">
        <v>568</v>
      </c>
      <c r="J218" s="10">
        <f t="shared" si="3"/>
        <v>2272</v>
      </c>
      <c r="K218" s="8" t="s">
        <v>60</v>
      </c>
    </row>
    <row r="219" spans="1:11" x14ac:dyDescent="0.3">
      <c r="A219" s="8" t="s">
        <v>419</v>
      </c>
      <c r="B219" s="8" t="s">
        <v>224</v>
      </c>
      <c r="C219" s="8" t="s">
        <v>26</v>
      </c>
      <c r="D219" s="8" t="s">
        <v>39</v>
      </c>
      <c r="E219" s="8" t="s">
        <v>69</v>
      </c>
      <c r="F219" s="17">
        <v>46137</v>
      </c>
      <c r="G219" s="8">
        <v>9</v>
      </c>
      <c r="H219" s="8">
        <v>3</v>
      </c>
      <c r="I219" s="10">
        <v>743</v>
      </c>
      <c r="J219" s="10">
        <f t="shared" si="3"/>
        <v>6687</v>
      </c>
      <c r="K219" s="8" t="s">
        <v>60</v>
      </c>
    </row>
    <row r="220" spans="1:11" x14ac:dyDescent="0.3">
      <c r="A220" s="8" t="s">
        <v>420</v>
      </c>
      <c r="B220" s="8" t="s">
        <v>421</v>
      </c>
      <c r="C220" s="8" t="s">
        <v>24</v>
      </c>
      <c r="D220" s="8" t="s">
        <v>36</v>
      </c>
      <c r="E220" s="8" t="s">
        <v>75</v>
      </c>
      <c r="F220" s="17">
        <v>46240</v>
      </c>
      <c r="G220" s="8">
        <v>6</v>
      </c>
      <c r="H220" s="8">
        <v>3</v>
      </c>
      <c r="I220" s="10">
        <v>248</v>
      </c>
      <c r="J220" s="10">
        <f t="shared" si="3"/>
        <v>1488</v>
      </c>
      <c r="K220" s="8" t="s">
        <v>70</v>
      </c>
    </row>
    <row r="221" spans="1:11" x14ac:dyDescent="0.3">
      <c r="A221" s="8" t="s">
        <v>422</v>
      </c>
      <c r="B221" s="8" t="s">
        <v>423</v>
      </c>
      <c r="C221" s="8" t="s">
        <v>27</v>
      </c>
      <c r="D221" s="8" t="s">
        <v>37</v>
      </c>
      <c r="E221" s="8" t="s">
        <v>59</v>
      </c>
      <c r="F221" s="17">
        <v>46079</v>
      </c>
      <c r="G221" s="8">
        <v>8</v>
      </c>
      <c r="H221" s="8">
        <v>4</v>
      </c>
      <c r="I221" s="10">
        <v>501</v>
      </c>
      <c r="J221" s="10">
        <f t="shared" si="3"/>
        <v>4008</v>
      </c>
      <c r="K221" s="8" t="s">
        <v>70</v>
      </c>
    </row>
    <row r="222" spans="1:11" x14ac:dyDescent="0.3">
      <c r="A222" s="8" t="s">
        <v>424</v>
      </c>
      <c r="B222" s="8" t="s">
        <v>425</v>
      </c>
      <c r="C222" s="8" t="s">
        <v>25</v>
      </c>
      <c r="D222" s="8" t="s">
        <v>39</v>
      </c>
      <c r="E222" s="8" t="s">
        <v>75</v>
      </c>
      <c r="F222" s="17">
        <v>46035</v>
      </c>
      <c r="G222" s="8">
        <v>2</v>
      </c>
      <c r="H222" s="8">
        <v>1</v>
      </c>
      <c r="I222" s="10">
        <v>115</v>
      </c>
      <c r="J222" s="10">
        <f t="shared" si="3"/>
        <v>230</v>
      </c>
      <c r="K222" s="8" t="s">
        <v>66</v>
      </c>
    </row>
    <row r="223" spans="1:11" x14ac:dyDescent="0.3">
      <c r="A223" s="8" t="s">
        <v>426</v>
      </c>
      <c r="B223" s="8" t="s">
        <v>390</v>
      </c>
      <c r="C223" s="8" t="s">
        <v>26</v>
      </c>
      <c r="D223" s="8" t="s">
        <v>38</v>
      </c>
      <c r="E223" s="8" t="s">
        <v>69</v>
      </c>
      <c r="F223" s="17">
        <v>46196</v>
      </c>
      <c r="G223" s="8">
        <v>4</v>
      </c>
      <c r="H223" s="8">
        <v>3</v>
      </c>
      <c r="I223" s="10">
        <v>655</v>
      </c>
      <c r="J223" s="10">
        <f t="shared" si="3"/>
        <v>2620</v>
      </c>
      <c r="K223" s="8" t="s">
        <v>66</v>
      </c>
    </row>
    <row r="224" spans="1:11" x14ac:dyDescent="0.3">
      <c r="A224" s="8" t="s">
        <v>427</v>
      </c>
      <c r="B224" s="8" t="s">
        <v>164</v>
      </c>
      <c r="C224" s="8" t="s">
        <v>24</v>
      </c>
      <c r="D224" s="8" t="s">
        <v>36</v>
      </c>
      <c r="E224" s="8" t="s">
        <v>75</v>
      </c>
      <c r="F224" s="17">
        <v>46081</v>
      </c>
      <c r="G224" s="8">
        <v>1</v>
      </c>
      <c r="H224" s="8">
        <v>1</v>
      </c>
      <c r="I224" s="10">
        <v>272</v>
      </c>
      <c r="J224" s="10">
        <f t="shared" si="3"/>
        <v>272</v>
      </c>
      <c r="K224" s="8" t="s">
        <v>66</v>
      </c>
    </row>
    <row r="225" spans="1:11" x14ac:dyDescent="0.3">
      <c r="A225" s="8" t="s">
        <v>428</v>
      </c>
      <c r="B225" s="8" t="s">
        <v>156</v>
      </c>
      <c r="C225" s="8" t="s">
        <v>27</v>
      </c>
      <c r="D225" s="8" t="s">
        <v>37</v>
      </c>
      <c r="E225" s="8" t="s">
        <v>75</v>
      </c>
      <c r="F225" s="17">
        <v>46185</v>
      </c>
      <c r="G225" s="8">
        <v>5</v>
      </c>
      <c r="H225" s="8">
        <v>2</v>
      </c>
      <c r="I225" s="10">
        <v>485</v>
      </c>
      <c r="J225" s="10">
        <f t="shared" si="3"/>
        <v>2425</v>
      </c>
      <c r="K225" s="8" t="s">
        <v>80</v>
      </c>
    </row>
    <row r="226" spans="1:11" x14ac:dyDescent="0.3">
      <c r="A226" s="8" t="s">
        <v>429</v>
      </c>
      <c r="B226" s="8" t="s">
        <v>240</v>
      </c>
      <c r="C226" s="8" t="s">
        <v>27</v>
      </c>
      <c r="D226" s="8" t="s">
        <v>39</v>
      </c>
      <c r="E226" s="8" t="s">
        <v>69</v>
      </c>
      <c r="F226" s="17">
        <v>46031</v>
      </c>
      <c r="G226" s="8">
        <v>8</v>
      </c>
      <c r="H226" s="8">
        <v>4</v>
      </c>
      <c r="I226" s="10">
        <v>444</v>
      </c>
      <c r="J226" s="10">
        <f t="shared" si="3"/>
        <v>3552</v>
      </c>
      <c r="K226" s="8" t="s">
        <v>70</v>
      </c>
    </row>
    <row r="227" spans="1:11" x14ac:dyDescent="0.3">
      <c r="A227" s="8" t="s">
        <v>430</v>
      </c>
      <c r="B227" s="8" t="s">
        <v>226</v>
      </c>
      <c r="C227" s="8" t="s">
        <v>26</v>
      </c>
      <c r="D227" s="8" t="s">
        <v>39</v>
      </c>
      <c r="E227" s="8" t="s">
        <v>69</v>
      </c>
      <c r="F227" s="17">
        <v>46060</v>
      </c>
      <c r="G227" s="8">
        <v>7</v>
      </c>
      <c r="H227" s="8">
        <v>1</v>
      </c>
      <c r="I227" s="10">
        <v>693</v>
      </c>
      <c r="J227" s="10">
        <f t="shared" si="3"/>
        <v>4851</v>
      </c>
      <c r="K227" s="8" t="s">
        <v>66</v>
      </c>
    </row>
    <row r="228" spans="1:11" x14ac:dyDescent="0.3">
      <c r="A228" s="8" t="s">
        <v>431</v>
      </c>
      <c r="B228" s="8" t="s">
        <v>432</v>
      </c>
      <c r="C228" s="8" t="s">
        <v>26</v>
      </c>
      <c r="D228" s="8" t="s">
        <v>35</v>
      </c>
      <c r="E228" s="8" t="s">
        <v>59</v>
      </c>
      <c r="F228" s="17">
        <v>46064</v>
      </c>
      <c r="G228" s="8">
        <v>10</v>
      </c>
      <c r="H228" s="8">
        <v>3</v>
      </c>
      <c r="I228" s="10">
        <v>594</v>
      </c>
      <c r="J228" s="10">
        <f t="shared" si="3"/>
        <v>5940</v>
      </c>
      <c r="K228" s="8" t="s">
        <v>60</v>
      </c>
    </row>
    <row r="229" spans="1:11" x14ac:dyDescent="0.3">
      <c r="A229" s="8" t="s">
        <v>433</v>
      </c>
      <c r="B229" s="8" t="s">
        <v>434</v>
      </c>
      <c r="C229" s="8" t="s">
        <v>23</v>
      </c>
      <c r="D229" s="8" t="s">
        <v>39</v>
      </c>
      <c r="E229" s="8" t="s">
        <v>75</v>
      </c>
      <c r="F229" s="17">
        <v>46203</v>
      </c>
      <c r="G229" s="8">
        <v>6</v>
      </c>
      <c r="H229" s="8">
        <v>2</v>
      </c>
      <c r="I229" s="10">
        <v>311</v>
      </c>
      <c r="J229" s="10">
        <f t="shared" si="3"/>
        <v>1866</v>
      </c>
      <c r="K229" s="8" t="s">
        <v>70</v>
      </c>
    </row>
    <row r="230" spans="1:11" x14ac:dyDescent="0.3">
      <c r="A230" s="8" t="s">
        <v>435</v>
      </c>
      <c r="B230" s="8" t="s">
        <v>375</v>
      </c>
      <c r="C230" s="8" t="s">
        <v>24</v>
      </c>
      <c r="D230" s="8" t="s">
        <v>36</v>
      </c>
      <c r="E230" s="8" t="s">
        <v>69</v>
      </c>
      <c r="F230" s="17">
        <v>46241</v>
      </c>
      <c r="G230" s="8">
        <v>1</v>
      </c>
      <c r="H230" s="8">
        <v>2</v>
      </c>
      <c r="I230" s="10">
        <v>189</v>
      </c>
      <c r="J230" s="10">
        <f t="shared" si="3"/>
        <v>189</v>
      </c>
      <c r="K230" s="8" t="s">
        <v>70</v>
      </c>
    </row>
    <row r="231" spans="1:11" x14ac:dyDescent="0.3">
      <c r="A231" s="8" t="s">
        <v>436</v>
      </c>
      <c r="B231" s="8" t="s">
        <v>305</v>
      </c>
      <c r="C231" s="8" t="s">
        <v>23</v>
      </c>
      <c r="D231" s="8" t="s">
        <v>35</v>
      </c>
      <c r="E231" s="8" t="s">
        <v>63</v>
      </c>
      <c r="F231" s="17">
        <v>46135</v>
      </c>
      <c r="G231" s="8">
        <v>2</v>
      </c>
      <c r="H231" s="8">
        <v>4</v>
      </c>
      <c r="I231" s="10">
        <v>258</v>
      </c>
      <c r="J231" s="10">
        <f t="shared" si="3"/>
        <v>516</v>
      </c>
      <c r="K231" s="8" t="s">
        <v>80</v>
      </c>
    </row>
    <row r="232" spans="1:11" x14ac:dyDescent="0.3">
      <c r="A232" s="8" t="s">
        <v>437</v>
      </c>
      <c r="B232" s="8" t="s">
        <v>92</v>
      </c>
      <c r="C232" s="8" t="s">
        <v>26</v>
      </c>
      <c r="D232" s="8" t="s">
        <v>34</v>
      </c>
      <c r="E232" s="8" t="s">
        <v>59</v>
      </c>
      <c r="F232" s="17">
        <v>46026</v>
      </c>
      <c r="G232" s="8">
        <v>9</v>
      </c>
      <c r="H232" s="8">
        <v>3</v>
      </c>
      <c r="I232" s="10">
        <v>587</v>
      </c>
      <c r="J232" s="10">
        <f t="shared" si="3"/>
        <v>5283</v>
      </c>
      <c r="K232" s="8" t="s">
        <v>70</v>
      </c>
    </row>
    <row r="233" spans="1:11" x14ac:dyDescent="0.3">
      <c r="A233" s="8" t="s">
        <v>438</v>
      </c>
      <c r="B233" s="8" t="s">
        <v>138</v>
      </c>
      <c r="C233" s="8" t="s">
        <v>25</v>
      </c>
      <c r="D233" s="8" t="s">
        <v>38</v>
      </c>
      <c r="E233" s="8" t="s">
        <v>69</v>
      </c>
      <c r="F233" s="17">
        <v>46151</v>
      </c>
      <c r="G233" s="8">
        <v>5</v>
      </c>
      <c r="H233" s="8">
        <v>2</v>
      </c>
      <c r="I233" s="10">
        <v>171</v>
      </c>
      <c r="J233" s="10">
        <f t="shared" si="3"/>
        <v>855</v>
      </c>
      <c r="K233" s="8" t="s">
        <v>60</v>
      </c>
    </row>
    <row r="234" spans="1:11" x14ac:dyDescent="0.3">
      <c r="A234" s="8" t="s">
        <v>439</v>
      </c>
      <c r="B234" s="8" t="s">
        <v>440</v>
      </c>
      <c r="C234" s="8" t="s">
        <v>27</v>
      </c>
      <c r="D234" s="8" t="s">
        <v>34</v>
      </c>
      <c r="E234" s="8" t="s">
        <v>63</v>
      </c>
      <c r="F234" s="17">
        <v>46175</v>
      </c>
      <c r="G234" s="8">
        <v>8</v>
      </c>
      <c r="H234" s="8">
        <v>4</v>
      </c>
      <c r="I234" s="10">
        <v>525</v>
      </c>
      <c r="J234" s="10">
        <f t="shared" si="3"/>
        <v>4200</v>
      </c>
      <c r="K234" s="8" t="s">
        <v>70</v>
      </c>
    </row>
    <row r="235" spans="1:11" x14ac:dyDescent="0.3">
      <c r="A235" s="8" t="s">
        <v>441</v>
      </c>
      <c r="B235" s="8" t="s">
        <v>393</v>
      </c>
      <c r="C235" s="8" t="s">
        <v>26</v>
      </c>
      <c r="D235" s="8" t="s">
        <v>39</v>
      </c>
      <c r="E235" s="8" t="s">
        <v>63</v>
      </c>
      <c r="F235" s="17">
        <v>46082</v>
      </c>
      <c r="G235" s="8">
        <v>9</v>
      </c>
      <c r="H235" s="8">
        <v>2</v>
      </c>
      <c r="I235" s="10">
        <v>567</v>
      </c>
      <c r="J235" s="10">
        <f t="shared" si="3"/>
        <v>5103</v>
      </c>
      <c r="K235" s="8" t="s">
        <v>80</v>
      </c>
    </row>
    <row r="236" spans="1:11" x14ac:dyDescent="0.3">
      <c r="A236" s="8" t="s">
        <v>442</v>
      </c>
      <c r="B236" s="8" t="s">
        <v>390</v>
      </c>
      <c r="C236" s="8" t="s">
        <v>23</v>
      </c>
      <c r="D236" s="8" t="s">
        <v>38</v>
      </c>
      <c r="E236" s="8" t="s">
        <v>59</v>
      </c>
      <c r="F236" s="17">
        <v>46169</v>
      </c>
      <c r="G236" s="8">
        <v>2</v>
      </c>
      <c r="H236" s="8">
        <v>1</v>
      </c>
      <c r="I236" s="10">
        <v>263</v>
      </c>
      <c r="J236" s="10">
        <f t="shared" si="3"/>
        <v>526</v>
      </c>
      <c r="K236" s="8" t="s">
        <v>80</v>
      </c>
    </row>
    <row r="237" spans="1:11" x14ac:dyDescent="0.3">
      <c r="A237" s="8" t="s">
        <v>443</v>
      </c>
      <c r="B237" s="8" t="s">
        <v>274</v>
      </c>
      <c r="C237" s="8" t="s">
        <v>24</v>
      </c>
      <c r="D237" s="8" t="s">
        <v>39</v>
      </c>
      <c r="E237" s="8" t="s">
        <v>75</v>
      </c>
      <c r="F237" s="17">
        <v>46110</v>
      </c>
      <c r="G237" s="8">
        <v>10</v>
      </c>
      <c r="H237" s="8">
        <v>4</v>
      </c>
      <c r="I237" s="10">
        <v>272</v>
      </c>
      <c r="J237" s="10">
        <f t="shared" si="3"/>
        <v>2720</v>
      </c>
      <c r="K237" s="8" t="s">
        <v>60</v>
      </c>
    </row>
    <row r="238" spans="1:11" x14ac:dyDescent="0.3">
      <c r="A238" s="8" t="s">
        <v>444</v>
      </c>
      <c r="B238" s="8" t="s">
        <v>86</v>
      </c>
      <c r="C238" s="8" t="s">
        <v>23</v>
      </c>
      <c r="D238" s="8" t="s">
        <v>36</v>
      </c>
      <c r="E238" s="8" t="s">
        <v>59</v>
      </c>
      <c r="F238" s="17">
        <v>46185</v>
      </c>
      <c r="G238" s="8">
        <v>1</v>
      </c>
      <c r="H238" s="8">
        <v>4</v>
      </c>
      <c r="I238" s="10">
        <v>354</v>
      </c>
      <c r="J238" s="10">
        <f t="shared" si="3"/>
        <v>354</v>
      </c>
      <c r="K238" s="8" t="s">
        <v>66</v>
      </c>
    </row>
    <row r="239" spans="1:11" x14ac:dyDescent="0.3">
      <c r="A239" s="8" t="s">
        <v>445</v>
      </c>
      <c r="B239" s="8" t="s">
        <v>217</v>
      </c>
      <c r="C239" s="8" t="s">
        <v>26</v>
      </c>
      <c r="D239" s="8" t="s">
        <v>37</v>
      </c>
      <c r="E239" s="8" t="s">
        <v>63</v>
      </c>
      <c r="F239" s="17">
        <v>46115</v>
      </c>
      <c r="G239" s="8">
        <v>2</v>
      </c>
      <c r="H239" s="8">
        <v>1</v>
      </c>
      <c r="I239" s="10">
        <v>636</v>
      </c>
      <c r="J239" s="10">
        <f t="shared" si="3"/>
        <v>1272</v>
      </c>
      <c r="K239" s="8" t="s">
        <v>80</v>
      </c>
    </row>
    <row r="240" spans="1:11" x14ac:dyDescent="0.3">
      <c r="A240" s="8" t="s">
        <v>446</v>
      </c>
      <c r="B240" s="8" t="s">
        <v>425</v>
      </c>
      <c r="C240" s="8" t="s">
        <v>27</v>
      </c>
      <c r="D240" s="8" t="s">
        <v>38</v>
      </c>
      <c r="E240" s="8" t="s">
        <v>75</v>
      </c>
      <c r="F240" s="17">
        <v>46101</v>
      </c>
      <c r="G240" s="8">
        <v>7</v>
      </c>
      <c r="H240" s="8">
        <v>1</v>
      </c>
      <c r="I240" s="10">
        <v>446</v>
      </c>
      <c r="J240" s="10">
        <f t="shared" si="3"/>
        <v>3122</v>
      </c>
      <c r="K240" s="8" t="s">
        <v>60</v>
      </c>
    </row>
    <row r="241" spans="1:11" x14ac:dyDescent="0.3">
      <c r="A241" s="8" t="s">
        <v>447</v>
      </c>
      <c r="B241" s="8" t="s">
        <v>448</v>
      </c>
      <c r="C241" s="8" t="s">
        <v>27</v>
      </c>
      <c r="D241" s="8" t="s">
        <v>38</v>
      </c>
      <c r="E241" s="8" t="s">
        <v>75</v>
      </c>
      <c r="F241" s="17">
        <v>46197</v>
      </c>
      <c r="G241" s="8">
        <v>4</v>
      </c>
      <c r="H241" s="8">
        <v>2</v>
      </c>
      <c r="I241" s="10">
        <v>476</v>
      </c>
      <c r="J241" s="10">
        <f t="shared" si="3"/>
        <v>1904</v>
      </c>
      <c r="K241" s="8" t="s">
        <v>80</v>
      </c>
    </row>
    <row r="242" spans="1:11" x14ac:dyDescent="0.3">
      <c r="A242" s="8" t="s">
        <v>449</v>
      </c>
      <c r="B242" s="8" t="s">
        <v>450</v>
      </c>
      <c r="C242" s="8" t="s">
        <v>24</v>
      </c>
      <c r="D242" s="8" t="s">
        <v>34</v>
      </c>
      <c r="E242" s="8" t="s">
        <v>75</v>
      </c>
      <c r="F242" s="17">
        <v>46238</v>
      </c>
      <c r="G242" s="8">
        <v>6</v>
      </c>
      <c r="H242" s="8">
        <v>4</v>
      </c>
      <c r="I242" s="10">
        <v>186</v>
      </c>
      <c r="J242" s="10">
        <f t="shared" si="3"/>
        <v>1116</v>
      </c>
      <c r="K242" s="8" t="s">
        <v>80</v>
      </c>
    </row>
    <row r="243" spans="1:11" x14ac:dyDescent="0.3">
      <c r="A243" s="8" t="s">
        <v>451</v>
      </c>
      <c r="B243" s="8" t="s">
        <v>375</v>
      </c>
      <c r="C243" s="8" t="s">
        <v>24</v>
      </c>
      <c r="D243" s="8" t="s">
        <v>39</v>
      </c>
      <c r="E243" s="8" t="s">
        <v>59</v>
      </c>
      <c r="F243" s="17">
        <v>46039</v>
      </c>
      <c r="G243" s="8">
        <v>4</v>
      </c>
      <c r="H243" s="8">
        <v>4</v>
      </c>
      <c r="I243" s="10">
        <v>262</v>
      </c>
      <c r="J243" s="10">
        <f t="shared" si="3"/>
        <v>1048</v>
      </c>
      <c r="K243" s="8" t="s">
        <v>80</v>
      </c>
    </row>
    <row r="244" spans="1:11" x14ac:dyDescent="0.3">
      <c r="A244" s="8" t="s">
        <v>452</v>
      </c>
      <c r="B244" s="8" t="s">
        <v>343</v>
      </c>
      <c r="C244" s="8" t="s">
        <v>26</v>
      </c>
      <c r="D244" s="8" t="s">
        <v>34</v>
      </c>
      <c r="E244" s="8" t="s">
        <v>63</v>
      </c>
      <c r="F244" s="17">
        <v>46042</v>
      </c>
      <c r="G244" s="8">
        <v>4</v>
      </c>
      <c r="H244" s="8">
        <v>1</v>
      </c>
      <c r="I244" s="10">
        <v>541</v>
      </c>
      <c r="J244" s="10">
        <f t="shared" si="3"/>
        <v>2164</v>
      </c>
      <c r="K244" s="8" t="s">
        <v>70</v>
      </c>
    </row>
    <row r="245" spans="1:11" x14ac:dyDescent="0.3">
      <c r="A245" s="8" t="s">
        <v>453</v>
      </c>
      <c r="B245" s="8" t="s">
        <v>267</v>
      </c>
      <c r="C245" s="8" t="s">
        <v>25</v>
      </c>
      <c r="D245" s="8" t="s">
        <v>36</v>
      </c>
      <c r="E245" s="8" t="s">
        <v>63</v>
      </c>
      <c r="F245" s="17">
        <v>46100</v>
      </c>
      <c r="G245" s="8">
        <v>10</v>
      </c>
      <c r="H245" s="8">
        <v>3</v>
      </c>
      <c r="I245" s="10">
        <v>125</v>
      </c>
      <c r="J245" s="10">
        <f t="shared" si="3"/>
        <v>1250</v>
      </c>
      <c r="K245" s="8" t="s">
        <v>66</v>
      </c>
    </row>
    <row r="246" spans="1:11" x14ac:dyDescent="0.3">
      <c r="A246" s="8" t="s">
        <v>454</v>
      </c>
      <c r="B246" s="8" t="s">
        <v>455</v>
      </c>
      <c r="C246" s="8" t="s">
        <v>25</v>
      </c>
      <c r="D246" s="8" t="s">
        <v>37</v>
      </c>
      <c r="E246" s="8" t="s">
        <v>75</v>
      </c>
      <c r="F246" s="17">
        <v>46097</v>
      </c>
      <c r="G246" s="8">
        <v>1</v>
      </c>
      <c r="H246" s="8">
        <v>3</v>
      </c>
      <c r="I246" s="10">
        <v>155</v>
      </c>
      <c r="J246" s="10">
        <f t="shared" si="3"/>
        <v>155</v>
      </c>
      <c r="K246" s="8" t="s">
        <v>60</v>
      </c>
    </row>
    <row r="247" spans="1:11" x14ac:dyDescent="0.3">
      <c r="A247" s="8" t="s">
        <v>456</v>
      </c>
      <c r="B247" s="8" t="s">
        <v>356</v>
      </c>
      <c r="C247" s="8" t="s">
        <v>25</v>
      </c>
      <c r="D247" s="8" t="s">
        <v>38</v>
      </c>
      <c r="E247" s="8" t="s">
        <v>63</v>
      </c>
      <c r="F247" s="17">
        <v>46104</v>
      </c>
      <c r="G247" s="8">
        <v>6</v>
      </c>
      <c r="H247" s="8">
        <v>2</v>
      </c>
      <c r="I247" s="10">
        <v>130</v>
      </c>
      <c r="J247" s="10">
        <f t="shared" si="3"/>
        <v>780</v>
      </c>
      <c r="K247" s="8" t="s">
        <v>66</v>
      </c>
    </row>
    <row r="248" spans="1:11" x14ac:dyDescent="0.3">
      <c r="A248" s="8" t="s">
        <v>457</v>
      </c>
      <c r="B248" s="8" t="s">
        <v>369</v>
      </c>
      <c r="C248" s="8" t="s">
        <v>24</v>
      </c>
      <c r="D248" s="8" t="s">
        <v>39</v>
      </c>
      <c r="E248" s="8" t="s">
        <v>63</v>
      </c>
      <c r="F248" s="17">
        <v>46068</v>
      </c>
      <c r="G248" s="8">
        <v>7</v>
      </c>
      <c r="H248" s="8">
        <v>2</v>
      </c>
      <c r="I248" s="10">
        <v>191</v>
      </c>
      <c r="J248" s="10">
        <f t="shared" si="3"/>
        <v>1337</v>
      </c>
      <c r="K248" s="8" t="s">
        <v>70</v>
      </c>
    </row>
    <row r="249" spans="1:11" x14ac:dyDescent="0.3">
      <c r="A249" s="8" t="s">
        <v>458</v>
      </c>
      <c r="B249" s="8" t="s">
        <v>459</v>
      </c>
      <c r="C249" s="8" t="s">
        <v>27</v>
      </c>
      <c r="D249" s="8" t="s">
        <v>39</v>
      </c>
      <c r="E249" s="8" t="s">
        <v>75</v>
      </c>
      <c r="F249" s="17">
        <v>46137</v>
      </c>
      <c r="G249" s="8">
        <v>5</v>
      </c>
      <c r="H249" s="8">
        <v>1</v>
      </c>
      <c r="I249" s="10">
        <v>362</v>
      </c>
      <c r="J249" s="10">
        <f t="shared" si="3"/>
        <v>1810</v>
      </c>
      <c r="K249" s="8" t="s">
        <v>80</v>
      </c>
    </row>
    <row r="250" spans="1:11" x14ac:dyDescent="0.3">
      <c r="A250" s="8" t="s">
        <v>460</v>
      </c>
      <c r="B250" s="8" t="s">
        <v>461</v>
      </c>
      <c r="C250" s="8" t="s">
        <v>23</v>
      </c>
      <c r="D250" s="8" t="s">
        <v>39</v>
      </c>
      <c r="E250" s="8" t="s">
        <v>75</v>
      </c>
      <c r="F250" s="17">
        <v>46177</v>
      </c>
      <c r="G250" s="8">
        <v>5</v>
      </c>
      <c r="H250" s="8">
        <v>1</v>
      </c>
      <c r="I250" s="10">
        <v>387</v>
      </c>
      <c r="J250" s="10">
        <f t="shared" si="3"/>
        <v>1935</v>
      </c>
      <c r="K250" s="8" t="s">
        <v>80</v>
      </c>
    </row>
    <row r="251" spans="1:11" x14ac:dyDescent="0.3">
      <c r="A251" s="8" t="s">
        <v>462</v>
      </c>
      <c r="B251" s="8" t="s">
        <v>463</v>
      </c>
      <c r="C251" s="8" t="s">
        <v>24</v>
      </c>
      <c r="D251" s="8" t="s">
        <v>37</v>
      </c>
      <c r="E251" s="8" t="s">
        <v>59</v>
      </c>
      <c r="F251" s="17">
        <v>46181</v>
      </c>
      <c r="G251" s="8">
        <v>1</v>
      </c>
      <c r="H251" s="8">
        <v>1</v>
      </c>
      <c r="I251" s="10">
        <v>213</v>
      </c>
      <c r="J251" s="10">
        <f t="shared" si="3"/>
        <v>213</v>
      </c>
      <c r="K251" s="8" t="s">
        <v>60</v>
      </c>
    </row>
    <row r="252" spans="1:11" x14ac:dyDescent="0.3">
      <c r="A252" s="8" t="s">
        <v>464</v>
      </c>
      <c r="B252" s="8" t="s">
        <v>465</v>
      </c>
      <c r="C252" s="8" t="s">
        <v>26</v>
      </c>
      <c r="D252" s="8" t="s">
        <v>39</v>
      </c>
      <c r="E252" s="8" t="s">
        <v>75</v>
      </c>
      <c r="F252" s="17">
        <v>46098</v>
      </c>
      <c r="G252" s="8">
        <v>3</v>
      </c>
      <c r="H252" s="8">
        <v>4</v>
      </c>
      <c r="I252" s="10">
        <v>720</v>
      </c>
      <c r="J252" s="10">
        <f t="shared" si="3"/>
        <v>2160</v>
      </c>
      <c r="K252" s="8" t="s">
        <v>66</v>
      </c>
    </row>
    <row r="253" spans="1:11" x14ac:dyDescent="0.3">
      <c r="A253" s="8" t="s">
        <v>466</v>
      </c>
      <c r="B253" s="8" t="s">
        <v>279</v>
      </c>
      <c r="C253" s="8" t="s">
        <v>26</v>
      </c>
      <c r="D253" s="8" t="s">
        <v>36</v>
      </c>
      <c r="E253" s="8" t="s">
        <v>75</v>
      </c>
      <c r="F253" s="17">
        <v>46211</v>
      </c>
      <c r="G253" s="8">
        <v>6</v>
      </c>
      <c r="H253" s="8">
        <v>2</v>
      </c>
      <c r="I253" s="10">
        <v>716</v>
      </c>
      <c r="J253" s="10">
        <f t="shared" si="3"/>
        <v>4296</v>
      </c>
      <c r="K253" s="8" t="s">
        <v>66</v>
      </c>
    </row>
    <row r="254" spans="1:11" x14ac:dyDescent="0.3">
      <c r="A254" s="8" t="s">
        <v>467</v>
      </c>
      <c r="B254" s="8" t="s">
        <v>160</v>
      </c>
      <c r="C254" s="8" t="s">
        <v>24</v>
      </c>
      <c r="D254" s="8" t="s">
        <v>37</v>
      </c>
      <c r="E254" s="8" t="s">
        <v>69</v>
      </c>
      <c r="F254" s="17">
        <v>46224</v>
      </c>
      <c r="G254" s="8">
        <v>5</v>
      </c>
      <c r="H254" s="8">
        <v>2</v>
      </c>
      <c r="I254" s="10">
        <v>194</v>
      </c>
      <c r="J254" s="10">
        <f t="shared" si="3"/>
        <v>970</v>
      </c>
      <c r="K254" s="8" t="s">
        <v>80</v>
      </c>
    </row>
    <row r="255" spans="1:11" x14ac:dyDescent="0.3">
      <c r="A255" s="8" t="s">
        <v>468</v>
      </c>
      <c r="B255" s="8" t="s">
        <v>469</v>
      </c>
      <c r="C255" s="8" t="s">
        <v>23</v>
      </c>
      <c r="D255" s="8" t="s">
        <v>36</v>
      </c>
      <c r="E255" s="8" t="s">
        <v>63</v>
      </c>
      <c r="F255" s="17">
        <v>46160</v>
      </c>
      <c r="G255" s="8">
        <v>4</v>
      </c>
      <c r="H255" s="8">
        <v>4</v>
      </c>
      <c r="I255" s="10">
        <v>376</v>
      </c>
      <c r="J255" s="10">
        <f t="shared" si="3"/>
        <v>1504</v>
      </c>
      <c r="K255" s="8" t="s">
        <v>80</v>
      </c>
    </row>
    <row r="256" spans="1:11" x14ac:dyDescent="0.3">
      <c r="A256" s="8" t="s">
        <v>470</v>
      </c>
      <c r="B256" s="8" t="s">
        <v>440</v>
      </c>
      <c r="C256" s="8" t="s">
        <v>23</v>
      </c>
      <c r="D256" s="8" t="s">
        <v>35</v>
      </c>
      <c r="E256" s="8" t="s">
        <v>69</v>
      </c>
      <c r="F256" s="17">
        <v>46192</v>
      </c>
      <c r="G256" s="8">
        <v>6</v>
      </c>
      <c r="H256" s="8">
        <v>2</v>
      </c>
      <c r="I256" s="10">
        <v>294</v>
      </c>
      <c r="J256" s="10">
        <f t="shared" si="3"/>
        <v>1764</v>
      </c>
      <c r="K256" s="8" t="s">
        <v>70</v>
      </c>
    </row>
    <row r="257" spans="1:11" x14ac:dyDescent="0.3">
      <c r="A257" s="8" t="s">
        <v>471</v>
      </c>
      <c r="B257" s="8" t="s">
        <v>88</v>
      </c>
      <c r="C257" s="8" t="s">
        <v>24</v>
      </c>
      <c r="D257" s="8" t="s">
        <v>34</v>
      </c>
      <c r="E257" s="8" t="s">
        <v>75</v>
      </c>
      <c r="F257" s="17">
        <v>46091</v>
      </c>
      <c r="G257" s="8">
        <v>7</v>
      </c>
      <c r="H257" s="8">
        <v>2</v>
      </c>
      <c r="I257" s="10">
        <v>234</v>
      </c>
      <c r="J257" s="10">
        <f t="shared" si="3"/>
        <v>1638</v>
      </c>
      <c r="K257" s="8" t="s">
        <v>60</v>
      </c>
    </row>
    <row r="258" spans="1:11" x14ac:dyDescent="0.3">
      <c r="A258" s="8" t="s">
        <v>472</v>
      </c>
      <c r="B258" s="8" t="s">
        <v>473</v>
      </c>
      <c r="C258" s="8" t="s">
        <v>27</v>
      </c>
      <c r="D258" s="8" t="s">
        <v>35</v>
      </c>
      <c r="E258" s="8" t="s">
        <v>59</v>
      </c>
      <c r="F258" s="17">
        <v>46128</v>
      </c>
      <c r="G258" s="8">
        <v>6</v>
      </c>
      <c r="H258" s="8">
        <v>1</v>
      </c>
      <c r="I258" s="10">
        <v>491</v>
      </c>
      <c r="J258" s="10">
        <f t="shared" ref="J258:J321" si="4">G258*I258</f>
        <v>2946</v>
      </c>
      <c r="K258" s="8" t="s">
        <v>60</v>
      </c>
    </row>
    <row r="259" spans="1:11" x14ac:dyDescent="0.3">
      <c r="A259" s="8" t="s">
        <v>474</v>
      </c>
      <c r="B259" s="8" t="s">
        <v>254</v>
      </c>
      <c r="C259" s="8" t="s">
        <v>23</v>
      </c>
      <c r="D259" s="8" t="s">
        <v>39</v>
      </c>
      <c r="E259" s="8" t="s">
        <v>69</v>
      </c>
      <c r="F259" s="17">
        <v>46144</v>
      </c>
      <c r="G259" s="8">
        <v>3</v>
      </c>
      <c r="H259" s="8">
        <v>1</v>
      </c>
      <c r="I259" s="10">
        <v>274</v>
      </c>
      <c r="J259" s="10">
        <f t="shared" si="4"/>
        <v>822</v>
      </c>
      <c r="K259" s="8" t="s">
        <v>70</v>
      </c>
    </row>
    <row r="260" spans="1:11" x14ac:dyDescent="0.3">
      <c r="A260" s="8" t="s">
        <v>475</v>
      </c>
      <c r="B260" s="8" t="s">
        <v>476</v>
      </c>
      <c r="C260" s="8" t="s">
        <v>23</v>
      </c>
      <c r="D260" s="8" t="s">
        <v>34</v>
      </c>
      <c r="E260" s="8" t="s">
        <v>63</v>
      </c>
      <c r="F260" s="17">
        <v>46097</v>
      </c>
      <c r="G260" s="8">
        <v>5</v>
      </c>
      <c r="H260" s="8">
        <v>1</v>
      </c>
      <c r="I260" s="10">
        <v>322</v>
      </c>
      <c r="J260" s="10">
        <f t="shared" si="4"/>
        <v>1610</v>
      </c>
      <c r="K260" s="8" t="s">
        <v>66</v>
      </c>
    </row>
    <row r="261" spans="1:11" x14ac:dyDescent="0.3">
      <c r="A261" s="8" t="s">
        <v>477</v>
      </c>
      <c r="B261" s="8" t="s">
        <v>84</v>
      </c>
      <c r="C261" s="8" t="s">
        <v>23</v>
      </c>
      <c r="D261" s="8" t="s">
        <v>34</v>
      </c>
      <c r="E261" s="8" t="s">
        <v>63</v>
      </c>
      <c r="F261" s="17">
        <v>46107</v>
      </c>
      <c r="G261" s="8">
        <v>6</v>
      </c>
      <c r="H261" s="8">
        <v>1</v>
      </c>
      <c r="I261" s="10">
        <v>399</v>
      </c>
      <c r="J261" s="10">
        <f t="shared" si="4"/>
        <v>2394</v>
      </c>
      <c r="K261" s="8" t="s">
        <v>60</v>
      </c>
    </row>
    <row r="262" spans="1:11" x14ac:dyDescent="0.3">
      <c r="A262" s="8" t="s">
        <v>478</v>
      </c>
      <c r="B262" s="8" t="s">
        <v>162</v>
      </c>
      <c r="C262" s="8" t="s">
        <v>27</v>
      </c>
      <c r="D262" s="8" t="s">
        <v>38</v>
      </c>
      <c r="E262" s="8" t="s">
        <v>75</v>
      </c>
      <c r="F262" s="17">
        <v>46117</v>
      </c>
      <c r="G262" s="8">
        <v>6</v>
      </c>
      <c r="H262" s="8">
        <v>3</v>
      </c>
      <c r="I262" s="10">
        <v>384</v>
      </c>
      <c r="J262" s="10">
        <f t="shared" si="4"/>
        <v>2304</v>
      </c>
      <c r="K262" s="8" t="s">
        <v>66</v>
      </c>
    </row>
    <row r="263" spans="1:11" x14ac:dyDescent="0.3">
      <c r="A263" s="8" t="s">
        <v>479</v>
      </c>
      <c r="B263" s="8" t="s">
        <v>96</v>
      </c>
      <c r="C263" s="8" t="s">
        <v>26</v>
      </c>
      <c r="D263" s="8" t="s">
        <v>36</v>
      </c>
      <c r="E263" s="8" t="s">
        <v>63</v>
      </c>
      <c r="F263" s="17">
        <v>46096</v>
      </c>
      <c r="G263" s="8">
        <v>6</v>
      </c>
      <c r="H263" s="8">
        <v>4</v>
      </c>
      <c r="I263" s="10">
        <v>675</v>
      </c>
      <c r="J263" s="10">
        <f t="shared" si="4"/>
        <v>4050</v>
      </c>
      <c r="K263" s="8" t="s">
        <v>66</v>
      </c>
    </row>
    <row r="264" spans="1:11" x14ac:dyDescent="0.3">
      <c r="A264" s="8" t="s">
        <v>480</v>
      </c>
      <c r="B264" s="8" t="s">
        <v>121</v>
      </c>
      <c r="C264" s="8" t="s">
        <v>24</v>
      </c>
      <c r="D264" s="8" t="s">
        <v>34</v>
      </c>
      <c r="E264" s="8" t="s">
        <v>59</v>
      </c>
      <c r="F264" s="17">
        <v>46221</v>
      </c>
      <c r="G264" s="8">
        <v>4</v>
      </c>
      <c r="H264" s="8">
        <v>2</v>
      </c>
      <c r="I264" s="10">
        <v>228</v>
      </c>
      <c r="J264" s="10">
        <f t="shared" si="4"/>
        <v>912</v>
      </c>
      <c r="K264" s="8" t="s">
        <v>70</v>
      </c>
    </row>
    <row r="265" spans="1:11" x14ac:dyDescent="0.3">
      <c r="A265" s="8" t="s">
        <v>481</v>
      </c>
      <c r="B265" s="8" t="s">
        <v>245</v>
      </c>
      <c r="C265" s="8" t="s">
        <v>26</v>
      </c>
      <c r="D265" s="8" t="s">
        <v>38</v>
      </c>
      <c r="E265" s="8" t="s">
        <v>69</v>
      </c>
      <c r="F265" s="17">
        <v>46155</v>
      </c>
      <c r="G265" s="8">
        <v>5</v>
      </c>
      <c r="H265" s="8">
        <v>2</v>
      </c>
      <c r="I265" s="10">
        <v>476</v>
      </c>
      <c r="J265" s="10">
        <f t="shared" si="4"/>
        <v>2380</v>
      </c>
      <c r="K265" s="8" t="s">
        <v>60</v>
      </c>
    </row>
    <row r="266" spans="1:11" x14ac:dyDescent="0.3">
      <c r="A266" s="8" t="s">
        <v>482</v>
      </c>
      <c r="B266" s="8" t="s">
        <v>121</v>
      </c>
      <c r="C266" s="8" t="s">
        <v>25</v>
      </c>
      <c r="D266" s="8" t="s">
        <v>34</v>
      </c>
      <c r="E266" s="8" t="s">
        <v>59</v>
      </c>
      <c r="F266" s="17">
        <v>46166</v>
      </c>
      <c r="G266" s="8">
        <v>2</v>
      </c>
      <c r="H266" s="8">
        <v>4</v>
      </c>
      <c r="I266" s="10">
        <v>170</v>
      </c>
      <c r="J266" s="10">
        <f t="shared" si="4"/>
        <v>340</v>
      </c>
      <c r="K266" s="8" t="s">
        <v>66</v>
      </c>
    </row>
    <row r="267" spans="1:11" x14ac:dyDescent="0.3">
      <c r="A267" s="8" t="s">
        <v>483</v>
      </c>
      <c r="B267" s="8" t="s">
        <v>168</v>
      </c>
      <c r="C267" s="8" t="s">
        <v>27</v>
      </c>
      <c r="D267" s="8" t="s">
        <v>34</v>
      </c>
      <c r="E267" s="8" t="s">
        <v>59</v>
      </c>
      <c r="F267" s="17">
        <v>46106</v>
      </c>
      <c r="G267" s="8">
        <v>10</v>
      </c>
      <c r="H267" s="8">
        <v>2</v>
      </c>
      <c r="I267" s="10">
        <v>518</v>
      </c>
      <c r="J267" s="10">
        <f t="shared" si="4"/>
        <v>5180</v>
      </c>
      <c r="K267" s="8" t="s">
        <v>66</v>
      </c>
    </row>
    <row r="268" spans="1:11" x14ac:dyDescent="0.3">
      <c r="A268" s="8" t="s">
        <v>484</v>
      </c>
      <c r="B268" s="8" t="s">
        <v>319</v>
      </c>
      <c r="C268" s="8" t="s">
        <v>26</v>
      </c>
      <c r="D268" s="8" t="s">
        <v>34</v>
      </c>
      <c r="E268" s="8" t="s">
        <v>69</v>
      </c>
      <c r="F268" s="17">
        <v>46057</v>
      </c>
      <c r="G268" s="8">
        <v>8</v>
      </c>
      <c r="H268" s="8">
        <v>1</v>
      </c>
      <c r="I268" s="10">
        <v>481</v>
      </c>
      <c r="J268" s="10">
        <f t="shared" si="4"/>
        <v>3848</v>
      </c>
      <c r="K268" s="8" t="s">
        <v>70</v>
      </c>
    </row>
    <row r="269" spans="1:11" x14ac:dyDescent="0.3">
      <c r="A269" s="8" t="s">
        <v>485</v>
      </c>
      <c r="B269" s="8" t="s">
        <v>486</v>
      </c>
      <c r="C269" s="8" t="s">
        <v>27</v>
      </c>
      <c r="D269" s="8" t="s">
        <v>35</v>
      </c>
      <c r="E269" s="8" t="s">
        <v>63</v>
      </c>
      <c r="F269" s="17">
        <v>46238</v>
      </c>
      <c r="G269" s="8">
        <v>10</v>
      </c>
      <c r="H269" s="8">
        <v>2</v>
      </c>
      <c r="I269" s="10">
        <v>496</v>
      </c>
      <c r="J269" s="10">
        <f t="shared" si="4"/>
        <v>4960</v>
      </c>
      <c r="K269" s="8" t="s">
        <v>70</v>
      </c>
    </row>
    <row r="270" spans="1:11" x14ac:dyDescent="0.3">
      <c r="A270" s="8" t="s">
        <v>487</v>
      </c>
      <c r="B270" s="8" t="s">
        <v>488</v>
      </c>
      <c r="C270" s="8" t="s">
        <v>26</v>
      </c>
      <c r="D270" s="8" t="s">
        <v>36</v>
      </c>
      <c r="E270" s="8" t="s">
        <v>75</v>
      </c>
      <c r="F270" s="17">
        <v>46093</v>
      </c>
      <c r="G270" s="8">
        <v>1</v>
      </c>
      <c r="H270" s="8">
        <v>2</v>
      </c>
      <c r="I270" s="10">
        <v>596</v>
      </c>
      <c r="J270" s="10">
        <f t="shared" si="4"/>
        <v>596</v>
      </c>
      <c r="K270" s="8" t="s">
        <v>70</v>
      </c>
    </row>
    <row r="271" spans="1:11" x14ac:dyDescent="0.3">
      <c r="A271" s="8" t="s">
        <v>489</v>
      </c>
      <c r="B271" s="8" t="s">
        <v>188</v>
      </c>
      <c r="C271" s="8" t="s">
        <v>23</v>
      </c>
      <c r="D271" s="8" t="s">
        <v>36</v>
      </c>
      <c r="E271" s="8" t="s">
        <v>69</v>
      </c>
      <c r="F271" s="17">
        <v>46097</v>
      </c>
      <c r="G271" s="8">
        <v>8</v>
      </c>
      <c r="H271" s="8">
        <v>4</v>
      </c>
      <c r="I271" s="10">
        <v>396</v>
      </c>
      <c r="J271" s="10">
        <f t="shared" si="4"/>
        <v>3168</v>
      </c>
      <c r="K271" s="8" t="s">
        <v>66</v>
      </c>
    </row>
    <row r="272" spans="1:11" x14ac:dyDescent="0.3">
      <c r="A272" s="8" t="s">
        <v>490</v>
      </c>
      <c r="B272" s="8" t="s">
        <v>226</v>
      </c>
      <c r="C272" s="8" t="s">
        <v>25</v>
      </c>
      <c r="D272" s="8" t="s">
        <v>35</v>
      </c>
      <c r="E272" s="8" t="s">
        <v>63</v>
      </c>
      <c r="F272" s="17">
        <v>46103</v>
      </c>
      <c r="G272" s="8">
        <v>5</v>
      </c>
      <c r="H272" s="8">
        <v>3</v>
      </c>
      <c r="I272" s="10">
        <v>123</v>
      </c>
      <c r="J272" s="10">
        <f t="shared" si="4"/>
        <v>615</v>
      </c>
      <c r="K272" s="8" t="s">
        <v>80</v>
      </c>
    </row>
    <row r="273" spans="1:11" x14ac:dyDescent="0.3">
      <c r="A273" s="8" t="s">
        <v>491</v>
      </c>
      <c r="B273" s="8" t="s">
        <v>492</v>
      </c>
      <c r="C273" s="8" t="s">
        <v>27</v>
      </c>
      <c r="D273" s="8" t="s">
        <v>37</v>
      </c>
      <c r="E273" s="8" t="s">
        <v>63</v>
      </c>
      <c r="F273" s="17">
        <v>46105</v>
      </c>
      <c r="G273" s="8">
        <v>5</v>
      </c>
      <c r="H273" s="8">
        <v>3</v>
      </c>
      <c r="I273" s="10">
        <v>385</v>
      </c>
      <c r="J273" s="10">
        <f t="shared" si="4"/>
        <v>1925</v>
      </c>
      <c r="K273" s="8" t="s">
        <v>80</v>
      </c>
    </row>
    <row r="274" spans="1:11" x14ac:dyDescent="0.3">
      <c r="A274" s="8" t="s">
        <v>493</v>
      </c>
      <c r="B274" s="8" t="s">
        <v>459</v>
      </c>
      <c r="C274" s="8" t="s">
        <v>26</v>
      </c>
      <c r="D274" s="8" t="s">
        <v>36</v>
      </c>
      <c r="E274" s="8" t="s">
        <v>63</v>
      </c>
      <c r="F274" s="17">
        <v>46178</v>
      </c>
      <c r="G274" s="8">
        <v>1</v>
      </c>
      <c r="H274" s="8">
        <v>3</v>
      </c>
      <c r="I274" s="10">
        <v>601</v>
      </c>
      <c r="J274" s="10">
        <f t="shared" si="4"/>
        <v>601</v>
      </c>
      <c r="K274" s="8" t="s">
        <v>66</v>
      </c>
    </row>
    <row r="275" spans="1:11" x14ac:dyDescent="0.3">
      <c r="A275" s="8" t="s">
        <v>494</v>
      </c>
      <c r="B275" s="8" t="s">
        <v>495</v>
      </c>
      <c r="C275" s="8" t="s">
        <v>26</v>
      </c>
      <c r="D275" s="8" t="s">
        <v>38</v>
      </c>
      <c r="E275" s="8" t="s">
        <v>63</v>
      </c>
      <c r="F275" s="17">
        <v>46099</v>
      </c>
      <c r="G275" s="8">
        <v>7</v>
      </c>
      <c r="H275" s="8">
        <v>4</v>
      </c>
      <c r="I275" s="10">
        <v>680</v>
      </c>
      <c r="J275" s="10">
        <f t="shared" si="4"/>
        <v>4760</v>
      </c>
      <c r="K275" s="8" t="s">
        <v>60</v>
      </c>
    </row>
    <row r="276" spans="1:11" x14ac:dyDescent="0.3">
      <c r="A276" s="8" t="s">
        <v>496</v>
      </c>
      <c r="B276" s="8" t="s">
        <v>497</v>
      </c>
      <c r="C276" s="8" t="s">
        <v>24</v>
      </c>
      <c r="D276" s="8" t="s">
        <v>38</v>
      </c>
      <c r="E276" s="8" t="s">
        <v>69</v>
      </c>
      <c r="F276" s="17">
        <v>46184</v>
      </c>
      <c r="G276" s="8">
        <v>6</v>
      </c>
      <c r="H276" s="8">
        <v>1</v>
      </c>
      <c r="I276" s="10">
        <v>248</v>
      </c>
      <c r="J276" s="10">
        <f t="shared" si="4"/>
        <v>1488</v>
      </c>
      <c r="K276" s="8" t="s">
        <v>80</v>
      </c>
    </row>
    <row r="277" spans="1:11" x14ac:dyDescent="0.3">
      <c r="A277" s="8" t="s">
        <v>498</v>
      </c>
      <c r="B277" s="8" t="s">
        <v>499</v>
      </c>
      <c r="C277" s="8" t="s">
        <v>25</v>
      </c>
      <c r="D277" s="8" t="s">
        <v>38</v>
      </c>
      <c r="E277" s="8" t="s">
        <v>75</v>
      </c>
      <c r="F277" s="17">
        <v>46149</v>
      </c>
      <c r="G277" s="8">
        <v>10</v>
      </c>
      <c r="H277" s="8">
        <v>2</v>
      </c>
      <c r="I277" s="10">
        <v>104</v>
      </c>
      <c r="J277" s="10">
        <f t="shared" si="4"/>
        <v>1040</v>
      </c>
      <c r="K277" s="8" t="s">
        <v>70</v>
      </c>
    </row>
    <row r="278" spans="1:11" x14ac:dyDescent="0.3">
      <c r="A278" s="8" t="s">
        <v>500</v>
      </c>
      <c r="B278" s="8" t="s">
        <v>448</v>
      </c>
      <c r="C278" s="8" t="s">
        <v>27</v>
      </c>
      <c r="D278" s="8" t="s">
        <v>36</v>
      </c>
      <c r="E278" s="8" t="s">
        <v>59</v>
      </c>
      <c r="F278" s="17">
        <v>46218</v>
      </c>
      <c r="G278" s="8">
        <v>5</v>
      </c>
      <c r="H278" s="8">
        <v>4</v>
      </c>
      <c r="I278" s="10">
        <v>371</v>
      </c>
      <c r="J278" s="10">
        <f t="shared" si="4"/>
        <v>1855</v>
      </c>
      <c r="K278" s="8" t="s">
        <v>80</v>
      </c>
    </row>
    <row r="279" spans="1:11" x14ac:dyDescent="0.3">
      <c r="A279" s="8" t="s">
        <v>501</v>
      </c>
      <c r="B279" s="8" t="s">
        <v>502</v>
      </c>
      <c r="C279" s="8" t="s">
        <v>27</v>
      </c>
      <c r="D279" s="8" t="s">
        <v>39</v>
      </c>
      <c r="E279" s="8" t="s">
        <v>63</v>
      </c>
      <c r="F279" s="17">
        <v>46243</v>
      </c>
      <c r="G279" s="8">
        <v>5</v>
      </c>
      <c r="H279" s="8">
        <v>3</v>
      </c>
      <c r="I279" s="10">
        <v>447</v>
      </c>
      <c r="J279" s="10">
        <f t="shared" si="4"/>
        <v>2235</v>
      </c>
      <c r="K279" s="8" t="s">
        <v>66</v>
      </c>
    </row>
    <row r="280" spans="1:11" x14ac:dyDescent="0.3">
      <c r="A280" s="8" t="s">
        <v>503</v>
      </c>
      <c r="B280" s="8" t="s">
        <v>504</v>
      </c>
      <c r="C280" s="8" t="s">
        <v>23</v>
      </c>
      <c r="D280" s="8" t="s">
        <v>39</v>
      </c>
      <c r="E280" s="8" t="s">
        <v>75</v>
      </c>
      <c r="F280" s="17">
        <v>46204</v>
      </c>
      <c r="G280" s="8">
        <v>6</v>
      </c>
      <c r="H280" s="8">
        <v>3</v>
      </c>
      <c r="I280" s="10">
        <v>397</v>
      </c>
      <c r="J280" s="10">
        <f t="shared" si="4"/>
        <v>2382</v>
      </c>
      <c r="K280" s="8" t="s">
        <v>66</v>
      </c>
    </row>
    <row r="281" spans="1:11" x14ac:dyDescent="0.3">
      <c r="A281" s="8" t="s">
        <v>505</v>
      </c>
      <c r="B281" s="8" t="s">
        <v>166</v>
      </c>
      <c r="C281" s="8" t="s">
        <v>24</v>
      </c>
      <c r="D281" s="8" t="s">
        <v>34</v>
      </c>
      <c r="E281" s="8" t="s">
        <v>75</v>
      </c>
      <c r="F281" s="17">
        <v>46101</v>
      </c>
      <c r="G281" s="8">
        <v>8</v>
      </c>
      <c r="H281" s="8">
        <v>3</v>
      </c>
      <c r="I281" s="10">
        <v>268</v>
      </c>
      <c r="J281" s="10">
        <f t="shared" si="4"/>
        <v>2144</v>
      </c>
      <c r="K281" s="8" t="s">
        <v>66</v>
      </c>
    </row>
    <row r="282" spans="1:11" x14ac:dyDescent="0.3">
      <c r="A282" s="8" t="s">
        <v>506</v>
      </c>
      <c r="B282" s="8" t="s">
        <v>279</v>
      </c>
      <c r="C282" s="8" t="s">
        <v>24</v>
      </c>
      <c r="D282" s="8" t="s">
        <v>37</v>
      </c>
      <c r="E282" s="8" t="s">
        <v>69</v>
      </c>
      <c r="F282" s="17">
        <v>46157</v>
      </c>
      <c r="G282" s="8">
        <v>4</v>
      </c>
      <c r="H282" s="8">
        <v>2</v>
      </c>
      <c r="I282" s="10">
        <v>212</v>
      </c>
      <c r="J282" s="10">
        <f t="shared" si="4"/>
        <v>848</v>
      </c>
      <c r="K282" s="8" t="s">
        <v>66</v>
      </c>
    </row>
    <row r="283" spans="1:11" x14ac:dyDescent="0.3">
      <c r="A283" s="8" t="s">
        <v>507</v>
      </c>
      <c r="B283" s="8" t="s">
        <v>84</v>
      </c>
      <c r="C283" s="8" t="s">
        <v>24</v>
      </c>
      <c r="D283" s="8" t="s">
        <v>38</v>
      </c>
      <c r="E283" s="8" t="s">
        <v>69</v>
      </c>
      <c r="F283" s="17">
        <v>46061</v>
      </c>
      <c r="G283" s="8">
        <v>4</v>
      </c>
      <c r="H283" s="8">
        <v>1</v>
      </c>
      <c r="I283" s="10">
        <v>279</v>
      </c>
      <c r="J283" s="10">
        <f t="shared" si="4"/>
        <v>1116</v>
      </c>
      <c r="K283" s="8" t="s">
        <v>70</v>
      </c>
    </row>
    <row r="284" spans="1:11" x14ac:dyDescent="0.3">
      <c r="A284" s="8" t="s">
        <v>508</v>
      </c>
      <c r="B284" s="8" t="s">
        <v>127</v>
      </c>
      <c r="C284" s="8" t="s">
        <v>25</v>
      </c>
      <c r="D284" s="8" t="s">
        <v>34</v>
      </c>
      <c r="E284" s="8" t="s">
        <v>75</v>
      </c>
      <c r="F284" s="17">
        <v>46058</v>
      </c>
      <c r="G284" s="8">
        <v>3</v>
      </c>
      <c r="H284" s="8">
        <v>1</v>
      </c>
      <c r="I284" s="10">
        <v>157</v>
      </c>
      <c r="J284" s="10">
        <f t="shared" si="4"/>
        <v>471</v>
      </c>
      <c r="K284" s="8" t="s">
        <v>60</v>
      </c>
    </row>
    <row r="285" spans="1:11" x14ac:dyDescent="0.3">
      <c r="A285" s="8" t="s">
        <v>509</v>
      </c>
      <c r="B285" s="8" t="s">
        <v>448</v>
      </c>
      <c r="C285" s="8" t="s">
        <v>25</v>
      </c>
      <c r="D285" s="8" t="s">
        <v>39</v>
      </c>
      <c r="E285" s="8" t="s">
        <v>75</v>
      </c>
      <c r="F285" s="17">
        <v>46062</v>
      </c>
      <c r="G285" s="8">
        <v>9</v>
      </c>
      <c r="H285" s="8">
        <v>1</v>
      </c>
      <c r="I285" s="10">
        <v>156</v>
      </c>
      <c r="J285" s="10">
        <f t="shared" si="4"/>
        <v>1404</v>
      </c>
      <c r="K285" s="8" t="s">
        <v>80</v>
      </c>
    </row>
    <row r="286" spans="1:11" x14ac:dyDescent="0.3">
      <c r="A286" s="8" t="s">
        <v>510</v>
      </c>
      <c r="B286" s="8" t="s">
        <v>65</v>
      </c>
      <c r="C286" s="8" t="s">
        <v>25</v>
      </c>
      <c r="D286" s="8" t="s">
        <v>36</v>
      </c>
      <c r="E286" s="8" t="s">
        <v>69</v>
      </c>
      <c r="F286" s="17">
        <v>46144</v>
      </c>
      <c r="G286" s="8">
        <v>2</v>
      </c>
      <c r="H286" s="8">
        <v>4</v>
      </c>
      <c r="I286" s="10">
        <v>129</v>
      </c>
      <c r="J286" s="10">
        <f t="shared" si="4"/>
        <v>258</v>
      </c>
      <c r="K286" s="8" t="s">
        <v>70</v>
      </c>
    </row>
    <row r="287" spans="1:11" x14ac:dyDescent="0.3">
      <c r="A287" s="8" t="s">
        <v>511</v>
      </c>
      <c r="B287" s="8" t="s">
        <v>211</v>
      </c>
      <c r="C287" s="8" t="s">
        <v>27</v>
      </c>
      <c r="D287" s="8" t="s">
        <v>34</v>
      </c>
      <c r="E287" s="8" t="s">
        <v>59</v>
      </c>
      <c r="F287" s="17">
        <v>46121</v>
      </c>
      <c r="G287" s="8">
        <v>1</v>
      </c>
      <c r="H287" s="8">
        <v>2</v>
      </c>
      <c r="I287" s="10">
        <v>477</v>
      </c>
      <c r="J287" s="10">
        <f t="shared" si="4"/>
        <v>477</v>
      </c>
      <c r="K287" s="8" t="s">
        <v>70</v>
      </c>
    </row>
    <row r="288" spans="1:11" x14ac:dyDescent="0.3">
      <c r="A288" s="8" t="s">
        <v>512</v>
      </c>
      <c r="B288" s="8" t="s">
        <v>68</v>
      </c>
      <c r="C288" s="8" t="s">
        <v>25</v>
      </c>
      <c r="D288" s="8" t="s">
        <v>39</v>
      </c>
      <c r="E288" s="8" t="s">
        <v>59</v>
      </c>
      <c r="F288" s="17">
        <v>46053</v>
      </c>
      <c r="G288" s="8">
        <v>7</v>
      </c>
      <c r="H288" s="8">
        <v>4</v>
      </c>
      <c r="I288" s="10">
        <v>169</v>
      </c>
      <c r="J288" s="10">
        <f t="shared" si="4"/>
        <v>1183</v>
      </c>
      <c r="K288" s="8" t="s">
        <v>80</v>
      </c>
    </row>
    <row r="289" spans="1:11" x14ac:dyDescent="0.3">
      <c r="A289" s="8" t="s">
        <v>513</v>
      </c>
      <c r="B289" s="8" t="s">
        <v>398</v>
      </c>
      <c r="C289" s="8" t="s">
        <v>27</v>
      </c>
      <c r="D289" s="8" t="s">
        <v>39</v>
      </c>
      <c r="E289" s="8" t="s">
        <v>69</v>
      </c>
      <c r="F289" s="17">
        <v>46156</v>
      </c>
      <c r="G289" s="8">
        <v>5</v>
      </c>
      <c r="H289" s="8">
        <v>2</v>
      </c>
      <c r="I289" s="10">
        <v>393</v>
      </c>
      <c r="J289" s="10">
        <f t="shared" si="4"/>
        <v>1965</v>
      </c>
      <c r="K289" s="8" t="s">
        <v>70</v>
      </c>
    </row>
    <row r="290" spans="1:11" x14ac:dyDescent="0.3">
      <c r="A290" s="8" t="s">
        <v>514</v>
      </c>
      <c r="B290" s="8" t="s">
        <v>84</v>
      </c>
      <c r="C290" s="8" t="s">
        <v>23</v>
      </c>
      <c r="D290" s="8" t="s">
        <v>36</v>
      </c>
      <c r="E290" s="8" t="s">
        <v>63</v>
      </c>
      <c r="F290" s="17">
        <v>46139</v>
      </c>
      <c r="G290" s="8">
        <v>1</v>
      </c>
      <c r="H290" s="8">
        <v>2</v>
      </c>
      <c r="I290" s="10">
        <v>310</v>
      </c>
      <c r="J290" s="10">
        <f t="shared" si="4"/>
        <v>310</v>
      </c>
      <c r="K290" s="8" t="s">
        <v>66</v>
      </c>
    </row>
    <row r="291" spans="1:11" x14ac:dyDescent="0.3">
      <c r="A291" s="8" t="s">
        <v>515</v>
      </c>
      <c r="B291" s="8" t="s">
        <v>516</v>
      </c>
      <c r="C291" s="8" t="s">
        <v>27</v>
      </c>
      <c r="D291" s="8" t="s">
        <v>39</v>
      </c>
      <c r="E291" s="8" t="s">
        <v>69</v>
      </c>
      <c r="F291" s="17">
        <v>46151</v>
      </c>
      <c r="G291" s="8">
        <v>6</v>
      </c>
      <c r="H291" s="8">
        <v>4</v>
      </c>
      <c r="I291" s="10">
        <v>417</v>
      </c>
      <c r="J291" s="10">
        <f t="shared" si="4"/>
        <v>2502</v>
      </c>
      <c r="K291" s="8" t="s">
        <v>70</v>
      </c>
    </row>
    <row r="292" spans="1:11" x14ac:dyDescent="0.3">
      <c r="A292" s="8" t="s">
        <v>517</v>
      </c>
      <c r="B292" s="8" t="s">
        <v>492</v>
      </c>
      <c r="C292" s="8" t="s">
        <v>26</v>
      </c>
      <c r="D292" s="8" t="s">
        <v>38</v>
      </c>
      <c r="E292" s="8" t="s">
        <v>59</v>
      </c>
      <c r="F292" s="17">
        <v>46136</v>
      </c>
      <c r="G292" s="8">
        <v>1</v>
      </c>
      <c r="H292" s="8">
        <v>2</v>
      </c>
      <c r="I292" s="10">
        <v>703</v>
      </c>
      <c r="J292" s="10">
        <f t="shared" si="4"/>
        <v>703</v>
      </c>
      <c r="K292" s="8" t="s">
        <v>70</v>
      </c>
    </row>
    <row r="293" spans="1:11" x14ac:dyDescent="0.3">
      <c r="A293" s="8" t="s">
        <v>518</v>
      </c>
      <c r="B293" s="8" t="s">
        <v>247</v>
      </c>
      <c r="C293" s="8" t="s">
        <v>27</v>
      </c>
      <c r="D293" s="8" t="s">
        <v>39</v>
      </c>
      <c r="E293" s="8" t="s">
        <v>63</v>
      </c>
      <c r="F293" s="17">
        <v>46162</v>
      </c>
      <c r="G293" s="8">
        <v>5</v>
      </c>
      <c r="H293" s="8">
        <v>4</v>
      </c>
      <c r="I293" s="10">
        <v>504</v>
      </c>
      <c r="J293" s="10">
        <f t="shared" si="4"/>
        <v>2520</v>
      </c>
      <c r="K293" s="8" t="s">
        <v>80</v>
      </c>
    </row>
    <row r="294" spans="1:11" x14ac:dyDescent="0.3">
      <c r="A294" s="8" t="s">
        <v>519</v>
      </c>
      <c r="B294" s="8" t="s">
        <v>520</v>
      </c>
      <c r="C294" s="8" t="s">
        <v>25</v>
      </c>
      <c r="D294" s="8" t="s">
        <v>39</v>
      </c>
      <c r="E294" s="8" t="s">
        <v>59</v>
      </c>
      <c r="F294" s="17">
        <v>46143</v>
      </c>
      <c r="G294" s="8">
        <v>6</v>
      </c>
      <c r="H294" s="8">
        <v>2</v>
      </c>
      <c r="I294" s="10">
        <v>126</v>
      </c>
      <c r="J294" s="10">
        <f t="shared" si="4"/>
        <v>756</v>
      </c>
      <c r="K294" s="8" t="s">
        <v>60</v>
      </c>
    </row>
    <row r="295" spans="1:11" x14ac:dyDescent="0.3">
      <c r="A295" s="8" t="s">
        <v>521</v>
      </c>
      <c r="B295" s="8" t="s">
        <v>136</v>
      </c>
      <c r="C295" s="8" t="s">
        <v>27</v>
      </c>
      <c r="D295" s="8" t="s">
        <v>36</v>
      </c>
      <c r="E295" s="8" t="s">
        <v>69</v>
      </c>
      <c r="F295" s="17">
        <v>46239</v>
      </c>
      <c r="G295" s="8">
        <v>8</v>
      </c>
      <c r="H295" s="8">
        <v>4</v>
      </c>
      <c r="I295" s="10">
        <v>377</v>
      </c>
      <c r="J295" s="10">
        <f t="shared" si="4"/>
        <v>3016</v>
      </c>
      <c r="K295" s="8" t="s">
        <v>66</v>
      </c>
    </row>
    <row r="296" spans="1:11" x14ac:dyDescent="0.3">
      <c r="A296" s="8" t="s">
        <v>522</v>
      </c>
      <c r="B296" s="8" t="s">
        <v>520</v>
      </c>
      <c r="C296" s="8" t="s">
        <v>24</v>
      </c>
      <c r="D296" s="8" t="s">
        <v>37</v>
      </c>
      <c r="E296" s="8" t="s">
        <v>59</v>
      </c>
      <c r="F296" s="17">
        <v>46127</v>
      </c>
      <c r="G296" s="8">
        <v>8</v>
      </c>
      <c r="H296" s="8">
        <v>2</v>
      </c>
      <c r="I296" s="10">
        <v>220</v>
      </c>
      <c r="J296" s="10">
        <f t="shared" si="4"/>
        <v>1760</v>
      </c>
      <c r="K296" s="8" t="s">
        <v>66</v>
      </c>
    </row>
    <row r="297" spans="1:11" x14ac:dyDescent="0.3">
      <c r="A297" s="8" t="s">
        <v>523</v>
      </c>
      <c r="B297" s="8" t="s">
        <v>277</v>
      </c>
      <c r="C297" s="8" t="s">
        <v>26</v>
      </c>
      <c r="D297" s="8" t="s">
        <v>35</v>
      </c>
      <c r="E297" s="8" t="s">
        <v>63</v>
      </c>
      <c r="F297" s="17">
        <v>46204</v>
      </c>
      <c r="G297" s="8">
        <v>6</v>
      </c>
      <c r="H297" s="8">
        <v>3</v>
      </c>
      <c r="I297" s="10">
        <v>645</v>
      </c>
      <c r="J297" s="10">
        <f t="shared" si="4"/>
        <v>3870</v>
      </c>
      <c r="K297" s="8" t="s">
        <v>70</v>
      </c>
    </row>
    <row r="298" spans="1:11" x14ac:dyDescent="0.3">
      <c r="A298" s="8" t="s">
        <v>524</v>
      </c>
      <c r="B298" s="8" t="s">
        <v>525</v>
      </c>
      <c r="C298" s="8" t="s">
        <v>23</v>
      </c>
      <c r="D298" s="8" t="s">
        <v>37</v>
      </c>
      <c r="E298" s="8" t="s">
        <v>75</v>
      </c>
      <c r="F298" s="17">
        <v>46097</v>
      </c>
      <c r="G298" s="8">
        <v>5</v>
      </c>
      <c r="H298" s="8">
        <v>3</v>
      </c>
      <c r="I298" s="10">
        <v>275</v>
      </c>
      <c r="J298" s="10">
        <f t="shared" si="4"/>
        <v>1375</v>
      </c>
      <c r="K298" s="8" t="s">
        <v>70</v>
      </c>
    </row>
    <row r="299" spans="1:11" x14ac:dyDescent="0.3">
      <c r="A299" s="8" t="s">
        <v>526</v>
      </c>
      <c r="B299" s="8" t="s">
        <v>148</v>
      </c>
      <c r="C299" s="8" t="s">
        <v>25</v>
      </c>
      <c r="D299" s="8" t="s">
        <v>34</v>
      </c>
      <c r="E299" s="8" t="s">
        <v>59</v>
      </c>
      <c r="F299" s="17">
        <v>46206</v>
      </c>
      <c r="G299" s="8">
        <v>9</v>
      </c>
      <c r="H299" s="8">
        <v>4</v>
      </c>
      <c r="I299" s="10">
        <v>117</v>
      </c>
      <c r="J299" s="10">
        <f t="shared" si="4"/>
        <v>1053</v>
      </c>
      <c r="K299" s="8" t="s">
        <v>80</v>
      </c>
    </row>
    <row r="300" spans="1:11" x14ac:dyDescent="0.3">
      <c r="A300" s="8" t="s">
        <v>527</v>
      </c>
      <c r="B300" s="8" t="s">
        <v>528</v>
      </c>
      <c r="C300" s="8" t="s">
        <v>24</v>
      </c>
      <c r="D300" s="8" t="s">
        <v>38</v>
      </c>
      <c r="E300" s="8" t="s">
        <v>69</v>
      </c>
      <c r="F300" s="17">
        <v>46211</v>
      </c>
      <c r="G300" s="8">
        <v>9</v>
      </c>
      <c r="H300" s="8">
        <v>2</v>
      </c>
      <c r="I300" s="10">
        <v>190</v>
      </c>
      <c r="J300" s="10">
        <f t="shared" si="4"/>
        <v>1710</v>
      </c>
      <c r="K300" s="8" t="s">
        <v>80</v>
      </c>
    </row>
    <row r="301" spans="1:11" x14ac:dyDescent="0.3">
      <c r="A301" s="8" t="s">
        <v>529</v>
      </c>
      <c r="B301" s="8" t="s">
        <v>530</v>
      </c>
      <c r="C301" s="8" t="s">
        <v>24</v>
      </c>
      <c r="D301" s="8" t="s">
        <v>34</v>
      </c>
      <c r="E301" s="8" t="s">
        <v>69</v>
      </c>
      <c r="F301" s="17">
        <v>46075</v>
      </c>
      <c r="G301" s="8">
        <v>8</v>
      </c>
      <c r="H301" s="8">
        <v>1</v>
      </c>
      <c r="I301" s="10">
        <v>274</v>
      </c>
      <c r="J301" s="10">
        <f t="shared" si="4"/>
        <v>2192</v>
      </c>
      <c r="K301" s="8" t="s">
        <v>60</v>
      </c>
    </row>
    <row r="302" spans="1:11" x14ac:dyDescent="0.3">
      <c r="A302" s="8" t="s">
        <v>531</v>
      </c>
      <c r="B302" s="8" t="s">
        <v>532</v>
      </c>
      <c r="C302" s="8" t="s">
        <v>24</v>
      </c>
      <c r="D302" s="8" t="s">
        <v>39</v>
      </c>
      <c r="E302" s="8" t="s">
        <v>63</v>
      </c>
      <c r="F302" s="17">
        <v>46192</v>
      </c>
      <c r="G302" s="8">
        <v>4</v>
      </c>
      <c r="H302" s="8">
        <v>4</v>
      </c>
      <c r="I302" s="10">
        <v>220</v>
      </c>
      <c r="J302" s="10">
        <f t="shared" si="4"/>
        <v>880</v>
      </c>
      <c r="K302" s="8" t="s">
        <v>60</v>
      </c>
    </row>
    <row r="303" spans="1:11" x14ac:dyDescent="0.3">
      <c r="A303" s="8" t="s">
        <v>533</v>
      </c>
      <c r="B303" s="8" t="s">
        <v>175</v>
      </c>
      <c r="C303" s="8" t="s">
        <v>27</v>
      </c>
      <c r="D303" s="8" t="s">
        <v>37</v>
      </c>
      <c r="E303" s="8" t="s">
        <v>59</v>
      </c>
      <c r="F303" s="17">
        <v>46061</v>
      </c>
      <c r="G303" s="8">
        <v>7</v>
      </c>
      <c r="H303" s="8">
        <v>2</v>
      </c>
      <c r="I303" s="10">
        <v>470</v>
      </c>
      <c r="J303" s="10">
        <f t="shared" si="4"/>
        <v>3290</v>
      </c>
      <c r="K303" s="8" t="s">
        <v>60</v>
      </c>
    </row>
    <row r="304" spans="1:11" x14ac:dyDescent="0.3">
      <c r="A304" s="8" t="s">
        <v>534</v>
      </c>
      <c r="B304" s="8" t="s">
        <v>205</v>
      </c>
      <c r="C304" s="8" t="s">
        <v>27</v>
      </c>
      <c r="D304" s="8" t="s">
        <v>36</v>
      </c>
      <c r="E304" s="8" t="s">
        <v>75</v>
      </c>
      <c r="F304" s="17">
        <v>46105</v>
      </c>
      <c r="G304" s="8">
        <v>3</v>
      </c>
      <c r="H304" s="8">
        <v>2</v>
      </c>
      <c r="I304" s="10">
        <v>502</v>
      </c>
      <c r="J304" s="10">
        <f t="shared" si="4"/>
        <v>1506</v>
      </c>
      <c r="K304" s="8" t="s">
        <v>70</v>
      </c>
    </row>
    <row r="305" spans="1:11" x14ac:dyDescent="0.3">
      <c r="A305" s="8" t="s">
        <v>535</v>
      </c>
      <c r="B305" s="8" t="s">
        <v>536</v>
      </c>
      <c r="C305" s="8" t="s">
        <v>26</v>
      </c>
      <c r="D305" s="8" t="s">
        <v>37</v>
      </c>
      <c r="E305" s="8" t="s">
        <v>69</v>
      </c>
      <c r="F305" s="17">
        <v>46036</v>
      </c>
      <c r="G305" s="8">
        <v>4</v>
      </c>
      <c r="H305" s="8">
        <v>3</v>
      </c>
      <c r="I305" s="10">
        <v>664</v>
      </c>
      <c r="J305" s="10">
        <f t="shared" si="4"/>
        <v>2656</v>
      </c>
      <c r="K305" s="8" t="s">
        <v>80</v>
      </c>
    </row>
    <row r="306" spans="1:11" x14ac:dyDescent="0.3">
      <c r="A306" s="8" t="s">
        <v>537</v>
      </c>
      <c r="B306" s="8" t="s">
        <v>538</v>
      </c>
      <c r="C306" s="8" t="s">
        <v>27</v>
      </c>
      <c r="D306" s="8" t="s">
        <v>37</v>
      </c>
      <c r="E306" s="8" t="s">
        <v>75</v>
      </c>
      <c r="F306" s="17">
        <v>46072</v>
      </c>
      <c r="G306" s="8">
        <v>2</v>
      </c>
      <c r="H306" s="8">
        <v>3</v>
      </c>
      <c r="I306" s="10">
        <v>512</v>
      </c>
      <c r="J306" s="10">
        <f t="shared" si="4"/>
        <v>1024</v>
      </c>
      <c r="K306" s="8" t="s">
        <v>60</v>
      </c>
    </row>
    <row r="307" spans="1:11" x14ac:dyDescent="0.3">
      <c r="A307" s="8" t="s">
        <v>539</v>
      </c>
      <c r="B307" s="8" t="s">
        <v>540</v>
      </c>
      <c r="C307" s="8" t="s">
        <v>27</v>
      </c>
      <c r="D307" s="8" t="s">
        <v>36</v>
      </c>
      <c r="E307" s="8" t="s">
        <v>69</v>
      </c>
      <c r="F307" s="17">
        <v>46120</v>
      </c>
      <c r="G307" s="8">
        <v>3</v>
      </c>
      <c r="H307" s="8">
        <v>4</v>
      </c>
      <c r="I307" s="10">
        <v>519</v>
      </c>
      <c r="J307" s="10">
        <f t="shared" si="4"/>
        <v>1557</v>
      </c>
      <c r="K307" s="8" t="s">
        <v>80</v>
      </c>
    </row>
    <row r="308" spans="1:11" x14ac:dyDescent="0.3">
      <c r="A308" s="8" t="s">
        <v>541</v>
      </c>
      <c r="B308" s="8" t="s">
        <v>499</v>
      </c>
      <c r="C308" s="8" t="s">
        <v>24</v>
      </c>
      <c r="D308" s="8" t="s">
        <v>37</v>
      </c>
      <c r="E308" s="8" t="s">
        <v>63</v>
      </c>
      <c r="F308" s="17">
        <v>46081</v>
      </c>
      <c r="G308" s="8">
        <v>4</v>
      </c>
      <c r="H308" s="8">
        <v>3</v>
      </c>
      <c r="I308" s="10">
        <v>233</v>
      </c>
      <c r="J308" s="10">
        <f t="shared" si="4"/>
        <v>932</v>
      </c>
      <c r="K308" s="8" t="s">
        <v>80</v>
      </c>
    </row>
    <row r="309" spans="1:11" x14ac:dyDescent="0.3">
      <c r="A309" s="8" t="s">
        <v>542</v>
      </c>
      <c r="B309" s="8" t="s">
        <v>543</v>
      </c>
      <c r="C309" s="8" t="s">
        <v>27</v>
      </c>
      <c r="D309" s="8" t="s">
        <v>39</v>
      </c>
      <c r="E309" s="8" t="s">
        <v>59</v>
      </c>
      <c r="F309" s="17">
        <v>46228</v>
      </c>
      <c r="G309" s="8">
        <v>9</v>
      </c>
      <c r="H309" s="8">
        <v>3</v>
      </c>
      <c r="I309" s="10">
        <v>522</v>
      </c>
      <c r="J309" s="10">
        <f t="shared" si="4"/>
        <v>4698</v>
      </c>
      <c r="K309" s="8" t="s">
        <v>66</v>
      </c>
    </row>
    <row r="310" spans="1:11" x14ac:dyDescent="0.3">
      <c r="A310" s="8" t="s">
        <v>544</v>
      </c>
      <c r="B310" s="8" t="s">
        <v>497</v>
      </c>
      <c r="C310" s="8" t="s">
        <v>23</v>
      </c>
      <c r="D310" s="8" t="s">
        <v>39</v>
      </c>
      <c r="E310" s="8" t="s">
        <v>75</v>
      </c>
      <c r="F310" s="17">
        <v>46094</v>
      </c>
      <c r="G310" s="8">
        <v>6</v>
      </c>
      <c r="H310" s="8">
        <v>2</v>
      </c>
      <c r="I310" s="10">
        <v>272</v>
      </c>
      <c r="J310" s="10">
        <f t="shared" si="4"/>
        <v>1632</v>
      </c>
      <c r="K310" s="8" t="s">
        <v>66</v>
      </c>
    </row>
    <row r="311" spans="1:11" x14ac:dyDescent="0.3">
      <c r="A311" s="8" t="s">
        <v>545</v>
      </c>
      <c r="B311" s="8" t="s">
        <v>259</v>
      </c>
      <c r="C311" s="8" t="s">
        <v>27</v>
      </c>
      <c r="D311" s="8" t="s">
        <v>35</v>
      </c>
      <c r="E311" s="8" t="s">
        <v>59</v>
      </c>
      <c r="F311" s="17">
        <v>46102</v>
      </c>
      <c r="G311" s="8">
        <v>9</v>
      </c>
      <c r="H311" s="8">
        <v>3</v>
      </c>
      <c r="I311" s="10">
        <v>393</v>
      </c>
      <c r="J311" s="10">
        <f t="shared" si="4"/>
        <v>3537</v>
      </c>
      <c r="K311" s="8" t="s">
        <v>60</v>
      </c>
    </row>
    <row r="312" spans="1:11" x14ac:dyDescent="0.3">
      <c r="A312" s="8" t="s">
        <v>546</v>
      </c>
      <c r="B312" s="8" t="s">
        <v>502</v>
      </c>
      <c r="C312" s="8" t="s">
        <v>24</v>
      </c>
      <c r="D312" s="8" t="s">
        <v>35</v>
      </c>
      <c r="E312" s="8" t="s">
        <v>59</v>
      </c>
      <c r="F312" s="17">
        <v>46153</v>
      </c>
      <c r="G312" s="8">
        <v>2</v>
      </c>
      <c r="H312" s="8">
        <v>2</v>
      </c>
      <c r="I312" s="10">
        <v>266</v>
      </c>
      <c r="J312" s="10">
        <f t="shared" si="4"/>
        <v>532</v>
      </c>
      <c r="K312" s="8" t="s">
        <v>70</v>
      </c>
    </row>
    <row r="313" spans="1:11" x14ac:dyDescent="0.3">
      <c r="A313" s="8" t="s">
        <v>547</v>
      </c>
      <c r="B313" s="8" t="s">
        <v>72</v>
      </c>
      <c r="C313" s="8" t="s">
        <v>24</v>
      </c>
      <c r="D313" s="8" t="s">
        <v>35</v>
      </c>
      <c r="E313" s="8" t="s">
        <v>69</v>
      </c>
      <c r="F313" s="17">
        <v>46089</v>
      </c>
      <c r="G313" s="8">
        <v>6</v>
      </c>
      <c r="H313" s="8">
        <v>3</v>
      </c>
      <c r="I313" s="10">
        <v>269</v>
      </c>
      <c r="J313" s="10">
        <f t="shared" si="4"/>
        <v>1614</v>
      </c>
      <c r="K313" s="8" t="s">
        <v>70</v>
      </c>
    </row>
    <row r="314" spans="1:11" x14ac:dyDescent="0.3">
      <c r="A314" s="8" t="s">
        <v>548</v>
      </c>
      <c r="B314" s="8" t="s">
        <v>549</v>
      </c>
      <c r="C314" s="8" t="s">
        <v>24</v>
      </c>
      <c r="D314" s="8" t="s">
        <v>34</v>
      </c>
      <c r="E314" s="8" t="s">
        <v>59</v>
      </c>
      <c r="F314" s="17">
        <v>46194</v>
      </c>
      <c r="G314" s="8">
        <v>6</v>
      </c>
      <c r="H314" s="8">
        <v>3</v>
      </c>
      <c r="I314" s="10">
        <v>230</v>
      </c>
      <c r="J314" s="10">
        <f t="shared" si="4"/>
        <v>1380</v>
      </c>
      <c r="K314" s="8" t="s">
        <v>80</v>
      </c>
    </row>
    <row r="315" spans="1:11" x14ac:dyDescent="0.3">
      <c r="A315" s="8" t="s">
        <v>550</v>
      </c>
      <c r="B315" s="8" t="s">
        <v>166</v>
      </c>
      <c r="C315" s="8" t="s">
        <v>27</v>
      </c>
      <c r="D315" s="8" t="s">
        <v>36</v>
      </c>
      <c r="E315" s="8" t="s">
        <v>75</v>
      </c>
      <c r="F315" s="17">
        <v>46072</v>
      </c>
      <c r="G315" s="8">
        <v>8</v>
      </c>
      <c r="H315" s="8">
        <v>3</v>
      </c>
      <c r="I315" s="10">
        <v>380</v>
      </c>
      <c r="J315" s="10">
        <f t="shared" si="4"/>
        <v>3040</v>
      </c>
      <c r="K315" s="8" t="s">
        <v>70</v>
      </c>
    </row>
    <row r="316" spans="1:11" x14ac:dyDescent="0.3">
      <c r="A316" s="8" t="s">
        <v>551</v>
      </c>
      <c r="B316" s="8" t="s">
        <v>127</v>
      </c>
      <c r="C316" s="8" t="s">
        <v>23</v>
      </c>
      <c r="D316" s="8" t="s">
        <v>38</v>
      </c>
      <c r="E316" s="8" t="s">
        <v>59</v>
      </c>
      <c r="F316" s="17">
        <v>46218</v>
      </c>
      <c r="G316" s="8">
        <v>5</v>
      </c>
      <c r="H316" s="8">
        <v>2</v>
      </c>
      <c r="I316" s="10">
        <v>269</v>
      </c>
      <c r="J316" s="10">
        <f t="shared" si="4"/>
        <v>1345</v>
      </c>
      <c r="K316" s="8" t="s">
        <v>66</v>
      </c>
    </row>
    <row r="317" spans="1:11" x14ac:dyDescent="0.3">
      <c r="A317" s="8" t="s">
        <v>552</v>
      </c>
      <c r="B317" s="8" t="s">
        <v>180</v>
      </c>
      <c r="C317" s="8" t="s">
        <v>26</v>
      </c>
      <c r="D317" s="8" t="s">
        <v>36</v>
      </c>
      <c r="E317" s="8" t="s">
        <v>69</v>
      </c>
      <c r="F317" s="17">
        <v>46144</v>
      </c>
      <c r="G317" s="8">
        <v>4</v>
      </c>
      <c r="H317" s="8">
        <v>1</v>
      </c>
      <c r="I317" s="10">
        <v>577</v>
      </c>
      <c r="J317" s="10">
        <f t="shared" si="4"/>
        <v>2308</v>
      </c>
      <c r="K317" s="8" t="s">
        <v>80</v>
      </c>
    </row>
    <row r="318" spans="1:11" x14ac:dyDescent="0.3">
      <c r="A318" s="8" t="s">
        <v>553</v>
      </c>
      <c r="B318" s="8" t="s">
        <v>554</v>
      </c>
      <c r="C318" s="8" t="s">
        <v>25</v>
      </c>
      <c r="D318" s="8" t="s">
        <v>37</v>
      </c>
      <c r="E318" s="8" t="s">
        <v>75</v>
      </c>
      <c r="F318" s="17">
        <v>46116</v>
      </c>
      <c r="G318" s="8">
        <v>9</v>
      </c>
      <c r="H318" s="8">
        <v>4</v>
      </c>
      <c r="I318" s="10">
        <v>165</v>
      </c>
      <c r="J318" s="10">
        <f t="shared" si="4"/>
        <v>1485</v>
      </c>
      <c r="K318" s="8" t="s">
        <v>66</v>
      </c>
    </row>
    <row r="319" spans="1:11" x14ac:dyDescent="0.3">
      <c r="A319" s="8" t="s">
        <v>555</v>
      </c>
      <c r="B319" s="8" t="s">
        <v>418</v>
      </c>
      <c r="C319" s="8" t="s">
        <v>27</v>
      </c>
      <c r="D319" s="8" t="s">
        <v>39</v>
      </c>
      <c r="E319" s="8" t="s">
        <v>75</v>
      </c>
      <c r="F319" s="17">
        <v>46079</v>
      </c>
      <c r="G319" s="8">
        <v>7</v>
      </c>
      <c r="H319" s="8">
        <v>2</v>
      </c>
      <c r="I319" s="10">
        <v>544</v>
      </c>
      <c r="J319" s="10">
        <f t="shared" si="4"/>
        <v>3808</v>
      </c>
      <c r="K319" s="8" t="s">
        <v>70</v>
      </c>
    </row>
    <row r="320" spans="1:11" x14ac:dyDescent="0.3">
      <c r="A320" s="8" t="s">
        <v>556</v>
      </c>
      <c r="B320" s="8" t="s">
        <v>175</v>
      </c>
      <c r="C320" s="8" t="s">
        <v>23</v>
      </c>
      <c r="D320" s="8" t="s">
        <v>36</v>
      </c>
      <c r="E320" s="8" t="s">
        <v>59</v>
      </c>
      <c r="F320" s="17">
        <v>46222</v>
      </c>
      <c r="G320" s="8">
        <v>10</v>
      </c>
      <c r="H320" s="8">
        <v>2</v>
      </c>
      <c r="I320" s="10">
        <v>379</v>
      </c>
      <c r="J320" s="10">
        <f t="shared" si="4"/>
        <v>3790</v>
      </c>
      <c r="K320" s="8" t="s">
        <v>70</v>
      </c>
    </row>
    <row r="321" spans="1:11" x14ac:dyDescent="0.3">
      <c r="A321" s="8" t="s">
        <v>557</v>
      </c>
      <c r="B321" s="8" t="s">
        <v>558</v>
      </c>
      <c r="C321" s="8" t="s">
        <v>23</v>
      </c>
      <c r="D321" s="8" t="s">
        <v>36</v>
      </c>
      <c r="E321" s="8" t="s">
        <v>59</v>
      </c>
      <c r="F321" s="17">
        <v>46218</v>
      </c>
      <c r="G321" s="8">
        <v>2</v>
      </c>
      <c r="H321" s="8">
        <v>2</v>
      </c>
      <c r="I321" s="10">
        <v>364</v>
      </c>
      <c r="J321" s="10">
        <f t="shared" si="4"/>
        <v>728</v>
      </c>
      <c r="K321" s="8" t="s">
        <v>70</v>
      </c>
    </row>
    <row r="322" spans="1:11" x14ac:dyDescent="0.3">
      <c r="A322" s="8" t="s">
        <v>559</v>
      </c>
      <c r="B322" s="8" t="s">
        <v>459</v>
      </c>
      <c r="C322" s="8" t="s">
        <v>27</v>
      </c>
      <c r="D322" s="8" t="s">
        <v>36</v>
      </c>
      <c r="E322" s="8" t="s">
        <v>69</v>
      </c>
      <c r="F322" s="17">
        <v>46075</v>
      </c>
      <c r="G322" s="8">
        <v>4</v>
      </c>
      <c r="H322" s="8">
        <v>1</v>
      </c>
      <c r="I322" s="10">
        <v>412</v>
      </c>
      <c r="J322" s="10">
        <f t="shared" ref="J322:J385" si="5">G322*I322</f>
        <v>1648</v>
      </c>
      <c r="K322" s="8" t="s">
        <v>80</v>
      </c>
    </row>
    <row r="323" spans="1:11" x14ac:dyDescent="0.3">
      <c r="A323" s="8" t="s">
        <v>560</v>
      </c>
      <c r="B323" s="8" t="s">
        <v>561</v>
      </c>
      <c r="C323" s="8" t="s">
        <v>24</v>
      </c>
      <c r="D323" s="8" t="s">
        <v>37</v>
      </c>
      <c r="E323" s="8" t="s">
        <v>59</v>
      </c>
      <c r="F323" s="17">
        <v>46079</v>
      </c>
      <c r="G323" s="8">
        <v>10</v>
      </c>
      <c r="H323" s="8">
        <v>2</v>
      </c>
      <c r="I323" s="10">
        <v>200</v>
      </c>
      <c r="J323" s="10">
        <f t="shared" si="5"/>
        <v>2000</v>
      </c>
      <c r="K323" s="8" t="s">
        <v>60</v>
      </c>
    </row>
    <row r="324" spans="1:11" x14ac:dyDescent="0.3">
      <c r="A324" s="8" t="s">
        <v>562</v>
      </c>
      <c r="B324" s="8" t="s">
        <v>98</v>
      </c>
      <c r="C324" s="8" t="s">
        <v>26</v>
      </c>
      <c r="D324" s="8" t="s">
        <v>36</v>
      </c>
      <c r="E324" s="8" t="s">
        <v>59</v>
      </c>
      <c r="F324" s="17">
        <v>46237</v>
      </c>
      <c r="G324" s="8">
        <v>3</v>
      </c>
      <c r="H324" s="8">
        <v>3</v>
      </c>
      <c r="I324" s="10">
        <v>698</v>
      </c>
      <c r="J324" s="10">
        <f t="shared" si="5"/>
        <v>2094</v>
      </c>
      <c r="K324" s="8" t="s">
        <v>66</v>
      </c>
    </row>
    <row r="325" spans="1:11" x14ac:dyDescent="0.3">
      <c r="A325" s="8" t="s">
        <v>563</v>
      </c>
      <c r="B325" s="8" t="s">
        <v>388</v>
      </c>
      <c r="C325" s="8" t="s">
        <v>26</v>
      </c>
      <c r="D325" s="8" t="s">
        <v>35</v>
      </c>
      <c r="E325" s="8" t="s">
        <v>75</v>
      </c>
      <c r="F325" s="17">
        <v>46172</v>
      </c>
      <c r="G325" s="8">
        <v>1</v>
      </c>
      <c r="H325" s="8">
        <v>4</v>
      </c>
      <c r="I325" s="10">
        <v>524</v>
      </c>
      <c r="J325" s="10">
        <f t="shared" si="5"/>
        <v>524</v>
      </c>
      <c r="K325" s="8" t="s">
        <v>60</v>
      </c>
    </row>
    <row r="326" spans="1:11" x14ac:dyDescent="0.3">
      <c r="A326" s="8" t="s">
        <v>564</v>
      </c>
      <c r="B326" s="8" t="s">
        <v>565</v>
      </c>
      <c r="C326" s="8" t="s">
        <v>26</v>
      </c>
      <c r="D326" s="8" t="s">
        <v>34</v>
      </c>
      <c r="E326" s="8" t="s">
        <v>69</v>
      </c>
      <c r="F326" s="17">
        <v>46185</v>
      </c>
      <c r="G326" s="8">
        <v>7</v>
      </c>
      <c r="H326" s="8">
        <v>4</v>
      </c>
      <c r="I326" s="10">
        <v>739</v>
      </c>
      <c r="J326" s="10">
        <f t="shared" si="5"/>
        <v>5173</v>
      </c>
      <c r="K326" s="8" t="s">
        <v>80</v>
      </c>
    </row>
    <row r="327" spans="1:11" x14ac:dyDescent="0.3">
      <c r="A327" s="8" t="s">
        <v>566</v>
      </c>
      <c r="B327" s="8" t="s">
        <v>291</v>
      </c>
      <c r="C327" s="8" t="s">
        <v>26</v>
      </c>
      <c r="D327" s="8" t="s">
        <v>37</v>
      </c>
      <c r="E327" s="8" t="s">
        <v>69</v>
      </c>
      <c r="F327" s="17">
        <v>46231</v>
      </c>
      <c r="G327" s="8">
        <v>3</v>
      </c>
      <c r="H327" s="8">
        <v>1</v>
      </c>
      <c r="I327" s="10">
        <v>696</v>
      </c>
      <c r="J327" s="10">
        <f t="shared" si="5"/>
        <v>2088</v>
      </c>
      <c r="K327" s="8" t="s">
        <v>80</v>
      </c>
    </row>
    <row r="328" spans="1:11" x14ac:dyDescent="0.3">
      <c r="A328" s="8" t="s">
        <v>567</v>
      </c>
      <c r="B328" s="8" t="s">
        <v>77</v>
      </c>
      <c r="C328" s="8" t="s">
        <v>23</v>
      </c>
      <c r="D328" s="8" t="s">
        <v>35</v>
      </c>
      <c r="E328" s="8" t="s">
        <v>63</v>
      </c>
      <c r="F328" s="17">
        <v>46194</v>
      </c>
      <c r="G328" s="8">
        <v>7</v>
      </c>
      <c r="H328" s="8">
        <v>3</v>
      </c>
      <c r="I328" s="10">
        <v>364</v>
      </c>
      <c r="J328" s="10">
        <f t="shared" si="5"/>
        <v>2548</v>
      </c>
      <c r="K328" s="8" t="s">
        <v>80</v>
      </c>
    </row>
    <row r="329" spans="1:11" x14ac:dyDescent="0.3">
      <c r="A329" s="8" t="s">
        <v>568</v>
      </c>
      <c r="B329" s="8" t="s">
        <v>569</v>
      </c>
      <c r="C329" s="8" t="s">
        <v>26</v>
      </c>
      <c r="D329" s="8" t="s">
        <v>37</v>
      </c>
      <c r="E329" s="8" t="s">
        <v>59</v>
      </c>
      <c r="F329" s="17">
        <v>46030</v>
      </c>
      <c r="G329" s="8">
        <v>7</v>
      </c>
      <c r="H329" s="8">
        <v>1</v>
      </c>
      <c r="I329" s="10">
        <v>628</v>
      </c>
      <c r="J329" s="10">
        <f t="shared" si="5"/>
        <v>4396</v>
      </c>
      <c r="K329" s="8" t="s">
        <v>66</v>
      </c>
    </row>
    <row r="330" spans="1:11" x14ac:dyDescent="0.3">
      <c r="A330" s="8" t="s">
        <v>570</v>
      </c>
      <c r="B330" s="8" t="s">
        <v>571</v>
      </c>
      <c r="C330" s="8" t="s">
        <v>25</v>
      </c>
      <c r="D330" s="8" t="s">
        <v>34</v>
      </c>
      <c r="E330" s="8" t="s">
        <v>59</v>
      </c>
      <c r="F330" s="17">
        <v>46179</v>
      </c>
      <c r="G330" s="8">
        <v>9</v>
      </c>
      <c r="H330" s="8">
        <v>4</v>
      </c>
      <c r="I330" s="10">
        <v>113</v>
      </c>
      <c r="J330" s="10">
        <f t="shared" si="5"/>
        <v>1017</v>
      </c>
      <c r="K330" s="8" t="s">
        <v>80</v>
      </c>
    </row>
    <row r="331" spans="1:11" x14ac:dyDescent="0.3">
      <c r="A331" s="8" t="s">
        <v>572</v>
      </c>
      <c r="B331" s="8" t="s">
        <v>277</v>
      </c>
      <c r="C331" s="8" t="s">
        <v>24</v>
      </c>
      <c r="D331" s="8" t="s">
        <v>39</v>
      </c>
      <c r="E331" s="8" t="s">
        <v>75</v>
      </c>
      <c r="F331" s="17">
        <v>46141</v>
      </c>
      <c r="G331" s="8">
        <v>2</v>
      </c>
      <c r="H331" s="8">
        <v>1</v>
      </c>
      <c r="I331" s="10">
        <v>274</v>
      </c>
      <c r="J331" s="10">
        <f t="shared" si="5"/>
        <v>548</v>
      </c>
      <c r="K331" s="8" t="s">
        <v>60</v>
      </c>
    </row>
    <row r="332" spans="1:11" x14ac:dyDescent="0.3">
      <c r="A332" s="8" t="s">
        <v>573</v>
      </c>
      <c r="B332" s="8" t="s">
        <v>219</v>
      </c>
      <c r="C332" s="8" t="s">
        <v>26</v>
      </c>
      <c r="D332" s="8" t="s">
        <v>36</v>
      </c>
      <c r="E332" s="8" t="s">
        <v>69</v>
      </c>
      <c r="F332" s="17">
        <v>46214</v>
      </c>
      <c r="G332" s="8">
        <v>8</v>
      </c>
      <c r="H332" s="8">
        <v>2</v>
      </c>
      <c r="I332" s="10">
        <v>586</v>
      </c>
      <c r="J332" s="10">
        <f t="shared" si="5"/>
        <v>4688</v>
      </c>
      <c r="K332" s="8" t="s">
        <v>80</v>
      </c>
    </row>
    <row r="333" spans="1:11" x14ac:dyDescent="0.3">
      <c r="A333" s="8" t="s">
        <v>574</v>
      </c>
      <c r="B333" s="8" t="s">
        <v>434</v>
      </c>
      <c r="C333" s="8" t="s">
        <v>25</v>
      </c>
      <c r="D333" s="8" t="s">
        <v>35</v>
      </c>
      <c r="E333" s="8" t="s">
        <v>69</v>
      </c>
      <c r="F333" s="17">
        <v>46208</v>
      </c>
      <c r="G333" s="8">
        <v>7</v>
      </c>
      <c r="H333" s="8">
        <v>2</v>
      </c>
      <c r="I333" s="10">
        <v>113</v>
      </c>
      <c r="J333" s="10">
        <f t="shared" si="5"/>
        <v>791</v>
      </c>
      <c r="K333" s="8" t="s">
        <v>70</v>
      </c>
    </row>
    <row r="334" spans="1:11" x14ac:dyDescent="0.3">
      <c r="A334" s="8" t="s">
        <v>575</v>
      </c>
      <c r="B334" s="8" t="s">
        <v>152</v>
      </c>
      <c r="C334" s="8" t="s">
        <v>26</v>
      </c>
      <c r="D334" s="8" t="s">
        <v>36</v>
      </c>
      <c r="E334" s="8" t="s">
        <v>75</v>
      </c>
      <c r="F334" s="17">
        <v>46106</v>
      </c>
      <c r="G334" s="8">
        <v>1</v>
      </c>
      <c r="H334" s="8">
        <v>1</v>
      </c>
      <c r="I334" s="10">
        <v>466</v>
      </c>
      <c r="J334" s="10">
        <f t="shared" si="5"/>
        <v>466</v>
      </c>
      <c r="K334" s="8" t="s">
        <v>80</v>
      </c>
    </row>
    <row r="335" spans="1:11" x14ac:dyDescent="0.3">
      <c r="A335" s="8" t="s">
        <v>576</v>
      </c>
      <c r="B335" s="8" t="s">
        <v>301</v>
      </c>
      <c r="C335" s="8" t="s">
        <v>25</v>
      </c>
      <c r="D335" s="8" t="s">
        <v>34</v>
      </c>
      <c r="E335" s="8" t="s">
        <v>63</v>
      </c>
      <c r="F335" s="17">
        <v>46164</v>
      </c>
      <c r="G335" s="8">
        <v>8</v>
      </c>
      <c r="H335" s="8">
        <v>2</v>
      </c>
      <c r="I335" s="10">
        <v>120</v>
      </c>
      <c r="J335" s="10">
        <f t="shared" si="5"/>
        <v>960</v>
      </c>
      <c r="K335" s="8" t="s">
        <v>80</v>
      </c>
    </row>
    <row r="336" spans="1:11" x14ac:dyDescent="0.3">
      <c r="A336" s="8" t="s">
        <v>577</v>
      </c>
      <c r="B336" s="8" t="s">
        <v>377</v>
      </c>
      <c r="C336" s="8" t="s">
        <v>23</v>
      </c>
      <c r="D336" s="8" t="s">
        <v>35</v>
      </c>
      <c r="E336" s="8" t="s">
        <v>69</v>
      </c>
      <c r="F336" s="17">
        <v>46224</v>
      </c>
      <c r="G336" s="8">
        <v>8</v>
      </c>
      <c r="H336" s="8">
        <v>4</v>
      </c>
      <c r="I336" s="10">
        <v>279</v>
      </c>
      <c r="J336" s="10">
        <f t="shared" si="5"/>
        <v>2232</v>
      </c>
      <c r="K336" s="8" t="s">
        <v>70</v>
      </c>
    </row>
    <row r="337" spans="1:11" x14ac:dyDescent="0.3">
      <c r="A337" s="8" t="s">
        <v>578</v>
      </c>
      <c r="B337" s="8" t="s">
        <v>398</v>
      </c>
      <c r="C337" s="8" t="s">
        <v>23</v>
      </c>
      <c r="D337" s="8" t="s">
        <v>39</v>
      </c>
      <c r="E337" s="8" t="s">
        <v>75</v>
      </c>
      <c r="F337" s="17">
        <v>46094</v>
      </c>
      <c r="G337" s="8">
        <v>7</v>
      </c>
      <c r="H337" s="8">
        <v>2</v>
      </c>
      <c r="I337" s="10">
        <v>283</v>
      </c>
      <c r="J337" s="10">
        <f t="shared" si="5"/>
        <v>1981</v>
      </c>
      <c r="K337" s="8" t="s">
        <v>66</v>
      </c>
    </row>
    <row r="338" spans="1:11" x14ac:dyDescent="0.3">
      <c r="A338" s="8" t="s">
        <v>579</v>
      </c>
      <c r="B338" s="8" t="s">
        <v>580</v>
      </c>
      <c r="C338" s="8" t="s">
        <v>27</v>
      </c>
      <c r="D338" s="8" t="s">
        <v>37</v>
      </c>
      <c r="E338" s="8" t="s">
        <v>69</v>
      </c>
      <c r="F338" s="17">
        <v>46241</v>
      </c>
      <c r="G338" s="8">
        <v>8</v>
      </c>
      <c r="H338" s="8">
        <v>2</v>
      </c>
      <c r="I338" s="10">
        <v>372</v>
      </c>
      <c r="J338" s="10">
        <f t="shared" si="5"/>
        <v>2976</v>
      </c>
      <c r="K338" s="8" t="s">
        <v>80</v>
      </c>
    </row>
    <row r="339" spans="1:11" x14ac:dyDescent="0.3">
      <c r="A339" s="8" t="s">
        <v>581</v>
      </c>
      <c r="B339" s="8" t="s">
        <v>177</v>
      </c>
      <c r="C339" s="8" t="s">
        <v>23</v>
      </c>
      <c r="D339" s="8" t="s">
        <v>39</v>
      </c>
      <c r="E339" s="8" t="s">
        <v>63</v>
      </c>
      <c r="F339" s="17">
        <v>46146</v>
      </c>
      <c r="G339" s="8">
        <v>1</v>
      </c>
      <c r="H339" s="8">
        <v>2</v>
      </c>
      <c r="I339" s="10">
        <v>368</v>
      </c>
      <c r="J339" s="10">
        <f t="shared" si="5"/>
        <v>368</v>
      </c>
      <c r="K339" s="8" t="s">
        <v>66</v>
      </c>
    </row>
    <row r="340" spans="1:11" x14ac:dyDescent="0.3">
      <c r="A340" s="8" t="s">
        <v>582</v>
      </c>
      <c r="B340" s="8" t="s">
        <v>583</v>
      </c>
      <c r="C340" s="8" t="s">
        <v>26</v>
      </c>
      <c r="D340" s="8" t="s">
        <v>39</v>
      </c>
      <c r="E340" s="8" t="s">
        <v>75</v>
      </c>
      <c r="F340" s="17">
        <v>46087</v>
      </c>
      <c r="G340" s="8">
        <v>3</v>
      </c>
      <c r="H340" s="8">
        <v>1</v>
      </c>
      <c r="I340" s="10">
        <v>712</v>
      </c>
      <c r="J340" s="10">
        <f t="shared" si="5"/>
        <v>2136</v>
      </c>
      <c r="K340" s="8" t="s">
        <v>66</v>
      </c>
    </row>
    <row r="341" spans="1:11" x14ac:dyDescent="0.3">
      <c r="A341" s="8" t="s">
        <v>584</v>
      </c>
      <c r="B341" s="8" t="s">
        <v>205</v>
      </c>
      <c r="C341" s="8" t="s">
        <v>26</v>
      </c>
      <c r="D341" s="8" t="s">
        <v>34</v>
      </c>
      <c r="E341" s="8" t="s">
        <v>75</v>
      </c>
      <c r="F341" s="17">
        <v>46153</v>
      </c>
      <c r="G341" s="8">
        <v>5</v>
      </c>
      <c r="H341" s="8">
        <v>1</v>
      </c>
      <c r="I341" s="10">
        <v>592</v>
      </c>
      <c r="J341" s="10">
        <f t="shared" si="5"/>
        <v>2960</v>
      </c>
      <c r="K341" s="8" t="s">
        <v>60</v>
      </c>
    </row>
    <row r="342" spans="1:11" x14ac:dyDescent="0.3">
      <c r="A342" s="8" t="s">
        <v>585</v>
      </c>
      <c r="B342" s="8" t="s">
        <v>142</v>
      </c>
      <c r="C342" s="8" t="s">
        <v>23</v>
      </c>
      <c r="D342" s="8" t="s">
        <v>35</v>
      </c>
      <c r="E342" s="8" t="s">
        <v>69</v>
      </c>
      <c r="F342" s="17">
        <v>46235</v>
      </c>
      <c r="G342" s="8">
        <v>3</v>
      </c>
      <c r="H342" s="8">
        <v>4</v>
      </c>
      <c r="I342" s="10">
        <v>361</v>
      </c>
      <c r="J342" s="10">
        <f t="shared" si="5"/>
        <v>1083</v>
      </c>
      <c r="K342" s="8" t="s">
        <v>80</v>
      </c>
    </row>
    <row r="343" spans="1:11" x14ac:dyDescent="0.3">
      <c r="A343" s="8" t="s">
        <v>586</v>
      </c>
      <c r="B343" s="8" t="s">
        <v>543</v>
      </c>
      <c r="C343" s="8" t="s">
        <v>26</v>
      </c>
      <c r="D343" s="8" t="s">
        <v>34</v>
      </c>
      <c r="E343" s="8" t="s">
        <v>69</v>
      </c>
      <c r="F343" s="17">
        <v>46186</v>
      </c>
      <c r="G343" s="8">
        <v>5</v>
      </c>
      <c r="H343" s="8">
        <v>4</v>
      </c>
      <c r="I343" s="10">
        <v>626</v>
      </c>
      <c r="J343" s="10">
        <f t="shared" si="5"/>
        <v>3130</v>
      </c>
      <c r="K343" s="8" t="s">
        <v>66</v>
      </c>
    </row>
    <row r="344" spans="1:11" x14ac:dyDescent="0.3">
      <c r="A344" s="8" t="s">
        <v>587</v>
      </c>
      <c r="B344" s="8" t="s">
        <v>473</v>
      </c>
      <c r="C344" s="8" t="s">
        <v>27</v>
      </c>
      <c r="D344" s="8" t="s">
        <v>39</v>
      </c>
      <c r="E344" s="8" t="s">
        <v>59</v>
      </c>
      <c r="F344" s="17">
        <v>46075</v>
      </c>
      <c r="G344" s="8">
        <v>5</v>
      </c>
      <c r="H344" s="8">
        <v>1</v>
      </c>
      <c r="I344" s="10">
        <v>471</v>
      </c>
      <c r="J344" s="10">
        <f t="shared" si="5"/>
        <v>2355</v>
      </c>
      <c r="K344" s="8" t="s">
        <v>60</v>
      </c>
    </row>
    <row r="345" spans="1:11" x14ac:dyDescent="0.3">
      <c r="A345" s="8" t="s">
        <v>588</v>
      </c>
      <c r="B345" s="8" t="s">
        <v>232</v>
      </c>
      <c r="C345" s="8" t="s">
        <v>27</v>
      </c>
      <c r="D345" s="8" t="s">
        <v>36</v>
      </c>
      <c r="E345" s="8" t="s">
        <v>63</v>
      </c>
      <c r="F345" s="17">
        <v>46043</v>
      </c>
      <c r="G345" s="8">
        <v>10</v>
      </c>
      <c r="H345" s="8">
        <v>4</v>
      </c>
      <c r="I345" s="10">
        <v>434</v>
      </c>
      <c r="J345" s="10">
        <f t="shared" si="5"/>
        <v>4340</v>
      </c>
      <c r="K345" s="8" t="s">
        <v>66</v>
      </c>
    </row>
    <row r="346" spans="1:11" x14ac:dyDescent="0.3">
      <c r="A346" s="8" t="s">
        <v>589</v>
      </c>
      <c r="B346" s="8" t="s">
        <v>82</v>
      </c>
      <c r="C346" s="8" t="s">
        <v>25</v>
      </c>
      <c r="D346" s="8" t="s">
        <v>38</v>
      </c>
      <c r="E346" s="8" t="s">
        <v>59</v>
      </c>
      <c r="F346" s="17">
        <v>46060</v>
      </c>
      <c r="G346" s="8">
        <v>7</v>
      </c>
      <c r="H346" s="8">
        <v>1</v>
      </c>
      <c r="I346" s="10">
        <v>143</v>
      </c>
      <c r="J346" s="10">
        <f t="shared" si="5"/>
        <v>1001</v>
      </c>
      <c r="K346" s="8" t="s">
        <v>70</v>
      </c>
    </row>
    <row r="347" spans="1:11" x14ac:dyDescent="0.3">
      <c r="A347" s="8" t="s">
        <v>590</v>
      </c>
      <c r="B347" s="8" t="s">
        <v>305</v>
      </c>
      <c r="C347" s="8" t="s">
        <v>26</v>
      </c>
      <c r="D347" s="8" t="s">
        <v>35</v>
      </c>
      <c r="E347" s="8" t="s">
        <v>59</v>
      </c>
      <c r="F347" s="17">
        <v>46152</v>
      </c>
      <c r="G347" s="8">
        <v>5</v>
      </c>
      <c r="H347" s="8">
        <v>3</v>
      </c>
      <c r="I347" s="10">
        <v>649</v>
      </c>
      <c r="J347" s="10">
        <f t="shared" si="5"/>
        <v>3245</v>
      </c>
      <c r="K347" s="8" t="s">
        <v>80</v>
      </c>
    </row>
    <row r="348" spans="1:11" x14ac:dyDescent="0.3">
      <c r="A348" s="8" t="s">
        <v>591</v>
      </c>
      <c r="B348" s="8" t="s">
        <v>504</v>
      </c>
      <c r="C348" s="8" t="s">
        <v>25</v>
      </c>
      <c r="D348" s="8" t="s">
        <v>39</v>
      </c>
      <c r="E348" s="8" t="s">
        <v>69</v>
      </c>
      <c r="F348" s="17">
        <v>46113</v>
      </c>
      <c r="G348" s="8">
        <v>6</v>
      </c>
      <c r="H348" s="8">
        <v>1</v>
      </c>
      <c r="I348" s="10">
        <v>102</v>
      </c>
      <c r="J348" s="10">
        <f t="shared" si="5"/>
        <v>612</v>
      </c>
      <c r="K348" s="8" t="s">
        <v>80</v>
      </c>
    </row>
    <row r="349" spans="1:11" x14ac:dyDescent="0.3">
      <c r="A349" s="8" t="s">
        <v>592</v>
      </c>
      <c r="B349" s="8" t="s">
        <v>593</v>
      </c>
      <c r="C349" s="8" t="s">
        <v>26</v>
      </c>
      <c r="D349" s="8" t="s">
        <v>39</v>
      </c>
      <c r="E349" s="8" t="s">
        <v>59</v>
      </c>
      <c r="F349" s="17">
        <v>46092</v>
      </c>
      <c r="G349" s="8">
        <v>9</v>
      </c>
      <c r="H349" s="8">
        <v>1</v>
      </c>
      <c r="I349" s="10">
        <v>551</v>
      </c>
      <c r="J349" s="10">
        <f t="shared" si="5"/>
        <v>4959</v>
      </c>
      <c r="K349" s="8" t="s">
        <v>66</v>
      </c>
    </row>
    <row r="350" spans="1:11" x14ac:dyDescent="0.3">
      <c r="A350" s="8" t="s">
        <v>594</v>
      </c>
      <c r="B350" s="8" t="s">
        <v>192</v>
      </c>
      <c r="C350" s="8" t="s">
        <v>24</v>
      </c>
      <c r="D350" s="8" t="s">
        <v>34</v>
      </c>
      <c r="E350" s="8" t="s">
        <v>75</v>
      </c>
      <c r="F350" s="17">
        <v>46245</v>
      </c>
      <c r="G350" s="8">
        <v>2</v>
      </c>
      <c r="H350" s="8">
        <v>1</v>
      </c>
      <c r="I350" s="10">
        <v>204</v>
      </c>
      <c r="J350" s="10">
        <f t="shared" si="5"/>
        <v>408</v>
      </c>
      <c r="K350" s="8" t="s">
        <v>70</v>
      </c>
    </row>
    <row r="351" spans="1:11" x14ac:dyDescent="0.3">
      <c r="A351" s="8" t="s">
        <v>595</v>
      </c>
      <c r="B351" s="8" t="s">
        <v>405</v>
      </c>
      <c r="C351" s="8" t="s">
        <v>24</v>
      </c>
      <c r="D351" s="8" t="s">
        <v>35</v>
      </c>
      <c r="E351" s="8" t="s">
        <v>75</v>
      </c>
      <c r="F351" s="17">
        <v>46224</v>
      </c>
      <c r="G351" s="8">
        <v>2</v>
      </c>
      <c r="H351" s="8">
        <v>2</v>
      </c>
      <c r="I351" s="10">
        <v>231</v>
      </c>
      <c r="J351" s="10">
        <f t="shared" si="5"/>
        <v>462</v>
      </c>
      <c r="K351" s="8" t="s">
        <v>66</v>
      </c>
    </row>
    <row r="352" spans="1:11" x14ac:dyDescent="0.3">
      <c r="A352" s="8" t="s">
        <v>596</v>
      </c>
      <c r="B352" s="8" t="s">
        <v>597</v>
      </c>
      <c r="C352" s="8" t="s">
        <v>26</v>
      </c>
      <c r="D352" s="8" t="s">
        <v>34</v>
      </c>
      <c r="E352" s="8" t="s">
        <v>63</v>
      </c>
      <c r="F352" s="17">
        <v>46079</v>
      </c>
      <c r="G352" s="8">
        <v>6</v>
      </c>
      <c r="H352" s="8">
        <v>1</v>
      </c>
      <c r="I352" s="10">
        <v>524</v>
      </c>
      <c r="J352" s="10">
        <f t="shared" si="5"/>
        <v>3144</v>
      </c>
      <c r="K352" s="8" t="s">
        <v>60</v>
      </c>
    </row>
    <row r="353" spans="1:11" x14ac:dyDescent="0.3">
      <c r="A353" s="8" t="s">
        <v>598</v>
      </c>
      <c r="B353" s="8" t="s">
        <v>185</v>
      </c>
      <c r="C353" s="8" t="s">
        <v>23</v>
      </c>
      <c r="D353" s="8" t="s">
        <v>34</v>
      </c>
      <c r="E353" s="8" t="s">
        <v>75</v>
      </c>
      <c r="F353" s="17">
        <v>46203</v>
      </c>
      <c r="G353" s="8">
        <v>2</v>
      </c>
      <c r="H353" s="8">
        <v>3</v>
      </c>
      <c r="I353" s="10">
        <v>352</v>
      </c>
      <c r="J353" s="10">
        <f t="shared" si="5"/>
        <v>704</v>
      </c>
      <c r="K353" s="8" t="s">
        <v>70</v>
      </c>
    </row>
    <row r="354" spans="1:11" x14ac:dyDescent="0.3">
      <c r="A354" s="8" t="s">
        <v>599</v>
      </c>
      <c r="B354" s="8" t="s">
        <v>540</v>
      </c>
      <c r="C354" s="8" t="s">
        <v>24</v>
      </c>
      <c r="D354" s="8" t="s">
        <v>37</v>
      </c>
      <c r="E354" s="8" t="s">
        <v>59</v>
      </c>
      <c r="F354" s="17">
        <v>46216</v>
      </c>
      <c r="G354" s="8">
        <v>9</v>
      </c>
      <c r="H354" s="8">
        <v>4</v>
      </c>
      <c r="I354" s="10">
        <v>235</v>
      </c>
      <c r="J354" s="10">
        <f t="shared" si="5"/>
        <v>2115</v>
      </c>
      <c r="K354" s="8" t="s">
        <v>70</v>
      </c>
    </row>
    <row r="355" spans="1:11" x14ac:dyDescent="0.3">
      <c r="A355" s="8" t="s">
        <v>600</v>
      </c>
      <c r="B355" s="8" t="s">
        <v>400</v>
      </c>
      <c r="C355" s="8" t="s">
        <v>24</v>
      </c>
      <c r="D355" s="8" t="s">
        <v>38</v>
      </c>
      <c r="E355" s="8" t="s">
        <v>75</v>
      </c>
      <c r="F355" s="17">
        <v>46131</v>
      </c>
      <c r="G355" s="8">
        <v>4</v>
      </c>
      <c r="H355" s="8">
        <v>2</v>
      </c>
      <c r="I355" s="10">
        <v>198</v>
      </c>
      <c r="J355" s="10">
        <f t="shared" si="5"/>
        <v>792</v>
      </c>
      <c r="K355" s="8" t="s">
        <v>66</v>
      </c>
    </row>
    <row r="356" spans="1:11" x14ac:dyDescent="0.3">
      <c r="A356" s="8" t="s">
        <v>601</v>
      </c>
      <c r="B356" s="8" t="s">
        <v>291</v>
      </c>
      <c r="C356" s="8" t="s">
        <v>27</v>
      </c>
      <c r="D356" s="8" t="s">
        <v>36</v>
      </c>
      <c r="E356" s="8" t="s">
        <v>69</v>
      </c>
      <c r="F356" s="17">
        <v>46213</v>
      </c>
      <c r="G356" s="8">
        <v>10</v>
      </c>
      <c r="H356" s="8">
        <v>4</v>
      </c>
      <c r="I356" s="10">
        <v>377</v>
      </c>
      <c r="J356" s="10">
        <f t="shared" si="5"/>
        <v>3770</v>
      </c>
      <c r="K356" s="8" t="s">
        <v>60</v>
      </c>
    </row>
    <row r="357" spans="1:11" x14ac:dyDescent="0.3">
      <c r="A357" s="8" t="s">
        <v>602</v>
      </c>
      <c r="B357" s="8" t="s">
        <v>281</v>
      </c>
      <c r="C357" s="8" t="s">
        <v>24</v>
      </c>
      <c r="D357" s="8" t="s">
        <v>39</v>
      </c>
      <c r="E357" s="8" t="s">
        <v>63</v>
      </c>
      <c r="F357" s="17">
        <v>46112</v>
      </c>
      <c r="G357" s="8">
        <v>7</v>
      </c>
      <c r="H357" s="8">
        <v>1</v>
      </c>
      <c r="I357" s="10">
        <v>268</v>
      </c>
      <c r="J357" s="10">
        <f t="shared" si="5"/>
        <v>1876</v>
      </c>
      <c r="K357" s="8" t="s">
        <v>70</v>
      </c>
    </row>
    <row r="358" spans="1:11" x14ac:dyDescent="0.3">
      <c r="A358" s="8" t="s">
        <v>603</v>
      </c>
      <c r="B358" s="8" t="s">
        <v>257</v>
      </c>
      <c r="C358" s="8" t="s">
        <v>25</v>
      </c>
      <c r="D358" s="8" t="s">
        <v>35</v>
      </c>
      <c r="E358" s="8" t="s">
        <v>63</v>
      </c>
      <c r="F358" s="17">
        <v>46207</v>
      </c>
      <c r="G358" s="8">
        <v>6</v>
      </c>
      <c r="H358" s="8">
        <v>1</v>
      </c>
      <c r="I358" s="10">
        <v>120</v>
      </c>
      <c r="J358" s="10">
        <f t="shared" si="5"/>
        <v>720</v>
      </c>
      <c r="K358" s="8" t="s">
        <v>60</v>
      </c>
    </row>
    <row r="359" spans="1:11" x14ac:dyDescent="0.3">
      <c r="A359" s="8" t="s">
        <v>604</v>
      </c>
      <c r="B359" s="8" t="s">
        <v>358</v>
      </c>
      <c r="C359" s="8" t="s">
        <v>27</v>
      </c>
      <c r="D359" s="8" t="s">
        <v>35</v>
      </c>
      <c r="E359" s="8" t="s">
        <v>75</v>
      </c>
      <c r="F359" s="17">
        <v>46081</v>
      </c>
      <c r="G359" s="8">
        <v>6</v>
      </c>
      <c r="H359" s="8">
        <v>2</v>
      </c>
      <c r="I359" s="10">
        <v>456</v>
      </c>
      <c r="J359" s="10">
        <f t="shared" si="5"/>
        <v>2736</v>
      </c>
      <c r="K359" s="8" t="s">
        <v>66</v>
      </c>
    </row>
    <row r="360" spans="1:11" x14ac:dyDescent="0.3">
      <c r="A360" s="8" t="s">
        <v>605</v>
      </c>
      <c r="B360" s="8" t="s">
        <v>606</v>
      </c>
      <c r="C360" s="8" t="s">
        <v>25</v>
      </c>
      <c r="D360" s="8" t="s">
        <v>34</v>
      </c>
      <c r="E360" s="8" t="s">
        <v>69</v>
      </c>
      <c r="F360" s="17">
        <v>46044</v>
      </c>
      <c r="G360" s="8">
        <v>1</v>
      </c>
      <c r="H360" s="8">
        <v>2</v>
      </c>
      <c r="I360" s="10">
        <v>106</v>
      </c>
      <c r="J360" s="10">
        <f t="shared" si="5"/>
        <v>106</v>
      </c>
      <c r="K360" s="8" t="s">
        <v>60</v>
      </c>
    </row>
    <row r="361" spans="1:11" x14ac:dyDescent="0.3">
      <c r="A361" s="8" t="s">
        <v>607</v>
      </c>
      <c r="B361" s="8" t="s">
        <v>104</v>
      </c>
      <c r="C361" s="8" t="s">
        <v>27</v>
      </c>
      <c r="D361" s="8" t="s">
        <v>36</v>
      </c>
      <c r="E361" s="8" t="s">
        <v>63</v>
      </c>
      <c r="F361" s="17">
        <v>46174</v>
      </c>
      <c r="G361" s="8">
        <v>6</v>
      </c>
      <c r="H361" s="8">
        <v>1</v>
      </c>
      <c r="I361" s="10">
        <v>543</v>
      </c>
      <c r="J361" s="10">
        <f t="shared" si="5"/>
        <v>3258</v>
      </c>
      <c r="K361" s="8" t="s">
        <v>80</v>
      </c>
    </row>
    <row r="362" spans="1:11" x14ac:dyDescent="0.3">
      <c r="A362" s="8" t="s">
        <v>608</v>
      </c>
      <c r="B362" s="8" t="s">
        <v>263</v>
      </c>
      <c r="C362" s="8" t="s">
        <v>26</v>
      </c>
      <c r="D362" s="8" t="s">
        <v>35</v>
      </c>
      <c r="E362" s="8" t="s">
        <v>59</v>
      </c>
      <c r="F362" s="17">
        <v>46251</v>
      </c>
      <c r="G362" s="8">
        <v>10</v>
      </c>
      <c r="H362" s="8">
        <v>1</v>
      </c>
      <c r="I362" s="10">
        <v>534</v>
      </c>
      <c r="J362" s="10">
        <f t="shared" si="5"/>
        <v>5340</v>
      </c>
      <c r="K362" s="8" t="s">
        <v>80</v>
      </c>
    </row>
    <row r="363" spans="1:11" x14ac:dyDescent="0.3">
      <c r="A363" s="8" t="s">
        <v>609</v>
      </c>
      <c r="B363" s="8" t="s">
        <v>205</v>
      </c>
      <c r="C363" s="8" t="s">
        <v>24</v>
      </c>
      <c r="D363" s="8" t="s">
        <v>34</v>
      </c>
      <c r="E363" s="8" t="s">
        <v>69</v>
      </c>
      <c r="F363" s="17">
        <v>46080</v>
      </c>
      <c r="G363" s="8">
        <v>9</v>
      </c>
      <c r="H363" s="8">
        <v>4</v>
      </c>
      <c r="I363" s="10">
        <v>217</v>
      </c>
      <c r="J363" s="10">
        <f t="shared" si="5"/>
        <v>1953</v>
      </c>
      <c r="K363" s="8" t="s">
        <v>66</v>
      </c>
    </row>
    <row r="364" spans="1:11" x14ac:dyDescent="0.3">
      <c r="A364" s="8" t="s">
        <v>610</v>
      </c>
      <c r="B364" s="8" t="s">
        <v>525</v>
      </c>
      <c r="C364" s="8" t="s">
        <v>24</v>
      </c>
      <c r="D364" s="8" t="s">
        <v>36</v>
      </c>
      <c r="E364" s="8" t="s">
        <v>63</v>
      </c>
      <c r="F364" s="17">
        <v>46107</v>
      </c>
      <c r="G364" s="8">
        <v>7</v>
      </c>
      <c r="H364" s="8">
        <v>1</v>
      </c>
      <c r="I364" s="10">
        <v>238</v>
      </c>
      <c r="J364" s="10">
        <f t="shared" si="5"/>
        <v>1666</v>
      </c>
      <c r="K364" s="8" t="s">
        <v>66</v>
      </c>
    </row>
    <row r="365" spans="1:11" x14ac:dyDescent="0.3">
      <c r="A365" s="8" t="s">
        <v>611</v>
      </c>
      <c r="B365" s="8" t="s">
        <v>425</v>
      </c>
      <c r="C365" s="8" t="s">
        <v>25</v>
      </c>
      <c r="D365" s="8" t="s">
        <v>38</v>
      </c>
      <c r="E365" s="8" t="s">
        <v>63</v>
      </c>
      <c r="F365" s="17">
        <v>46113</v>
      </c>
      <c r="G365" s="8">
        <v>10</v>
      </c>
      <c r="H365" s="8">
        <v>4</v>
      </c>
      <c r="I365" s="10">
        <v>159</v>
      </c>
      <c r="J365" s="10">
        <f t="shared" si="5"/>
        <v>1590</v>
      </c>
      <c r="K365" s="8" t="s">
        <v>80</v>
      </c>
    </row>
    <row r="366" spans="1:11" x14ac:dyDescent="0.3">
      <c r="A366" s="8" t="s">
        <v>612</v>
      </c>
      <c r="B366" s="8" t="s">
        <v>267</v>
      </c>
      <c r="C366" s="8" t="s">
        <v>26</v>
      </c>
      <c r="D366" s="8" t="s">
        <v>39</v>
      </c>
      <c r="E366" s="8" t="s">
        <v>63</v>
      </c>
      <c r="F366" s="17">
        <v>46109</v>
      </c>
      <c r="G366" s="8">
        <v>10</v>
      </c>
      <c r="H366" s="8">
        <v>2</v>
      </c>
      <c r="I366" s="10">
        <v>648</v>
      </c>
      <c r="J366" s="10">
        <f t="shared" si="5"/>
        <v>6480</v>
      </c>
      <c r="K366" s="8" t="s">
        <v>60</v>
      </c>
    </row>
    <row r="367" spans="1:11" x14ac:dyDescent="0.3">
      <c r="A367" s="8" t="s">
        <v>613</v>
      </c>
      <c r="B367" s="8" t="s">
        <v>209</v>
      </c>
      <c r="C367" s="8" t="s">
        <v>26</v>
      </c>
      <c r="D367" s="8" t="s">
        <v>36</v>
      </c>
      <c r="E367" s="8" t="s">
        <v>59</v>
      </c>
      <c r="F367" s="17">
        <v>46162</v>
      </c>
      <c r="G367" s="8">
        <v>2</v>
      </c>
      <c r="H367" s="8">
        <v>3</v>
      </c>
      <c r="I367" s="10">
        <v>619</v>
      </c>
      <c r="J367" s="10">
        <f t="shared" si="5"/>
        <v>1238</v>
      </c>
      <c r="K367" s="8" t="s">
        <v>80</v>
      </c>
    </row>
    <row r="368" spans="1:11" x14ac:dyDescent="0.3">
      <c r="A368" s="8" t="s">
        <v>614</v>
      </c>
      <c r="B368" s="8" t="s">
        <v>615</v>
      </c>
      <c r="C368" s="8" t="s">
        <v>26</v>
      </c>
      <c r="D368" s="8" t="s">
        <v>35</v>
      </c>
      <c r="E368" s="8" t="s">
        <v>69</v>
      </c>
      <c r="F368" s="17">
        <v>46139</v>
      </c>
      <c r="G368" s="8">
        <v>6</v>
      </c>
      <c r="H368" s="8">
        <v>1</v>
      </c>
      <c r="I368" s="10">
        <v>670</v>
      </c>
      <c r="J368" s="10">
        <f t="shared" si="5"/>
        <v>4020</v>
      </c>
      <c r="K368" s="8" t="s">
        <v>70</v>
      </c>
    </row>
    <row r="369" spans="1:11" x14ac:dyDescent="0.3">
      <c r="A369" s="8" t="s">
        <v>616</v>
      </c>
      <c r="B369" s="8" t="s">
        <v>393</v>
      </c>
      <c r="C369" s="8" t="s">
        <v>24</v>
      </c>
      <c r="D369" s="8" t="s">
        <v>37</v>
      </c>
      <c r="E369" s="8" t="s">
        <v>59</v>
      </c>
      <c r="F369" s="17">
        <v>46165</v>
      </c>
      <c r="G369" s="8">
        <v>3</v>
      </c>
      <c r="H369" s="8">
        <v>3</v>
      </c>
      <c r="I369" s="10">
        <v>268</v>
      </c>
      <c r="J369" s="10">
        <f t="shared" si="5"/>
        <v>804</v>
      </c>
      <c r="K369" s="8" t="s">
        <v>66</v>
      </c>
    </row>
    <row r="370" spans="1:11" x14ac:dyDescent="0.3">
      <c r="A370" s="8" t="s">
        <v>617</v>
      </c>
      <c r="B370" s="8" t="s">
        <v>532</v>
      </c>
      <c r="C370" s="8" t="s">
        <v>27</v>
      </c>
      <c r="D370" s="8" t="s">
        <v>34</v>
      </c>
      <c r="E370" s="8" t="s">
        <v>75</v>
      </c>
      <c r="F370" s="17">
        <v>46235</v>
      </c>
      <c r="G370" s="8">
        <v>3</v>
      </c>
      <c r="H370" s="8">
        <v>3</v>
      </c>
      <c r="I370" s="10">
        <v>475</v>
      </c>
      <c r="J370" s="10">
        <f t="shared" si="5"/>
        <v>1425</v>
      </c>
      <c r="K370" s="8" t="s">
        <v>70</v>
      </c>
    </row>
    <row r="371" spans="1:11" x14ac:dyDescent="0.3">
      <c r="A371" s="8" t="s">
        <v>618</v>
      </c>
      <c r="B371" s="8" t="s">
        <v>140</v>
      </c>
      <c r="C371" s="8" t="s">
        <v>27</v>
      </c>
      <c r="D371" s="8" t="s">
        <v>38</v>
      </c>
      <c r="E371" s="8" t="s">
        <v>59</v>
      </c>
      <c r="F371" s="17">
        <v>46085</v>
      </c>
      <c r="G371" s="8">
        <v>9</v>
      </c>
      <c r="H371" s="8">
        <v>2</v>
      </c>
      <c r="I371" s="10">
        <v>357</v>
      </c>
      <c r="J371" s="10">
        <f t="shared" si="5"/>
        <v>3213</v>
      </c>
      <c r="K371" s="8" t="s">
        <v>66</v>
      </c>
    </row>
    <row r="372" spans="1:11" x14ac:dyDescent="0.3">
      <c r="A372" s="8" t="s">
        <v>619</v>
      </c>
      <c r="B372" s="8" t="s">
        <v>620</v>
      </c>
      <c r="C372" s="8" t="s">
        <v>25</v>
      </c>
      <c r="D372" s="8" t="s">
        <v>34</v>
      </c>
      <c r="E372" s="8" t="s">
        <v>69</v>
      </c>
      <c r="F372" s="17">
        <v>46241</v>
      </c>
      <c r="G372" s="8">
        <v>2</v>
      </c>
      <c r="H372" s="8">
        <v>4</v>
      </c>
      <c r="I372" s="10">
        <v>175</v>
      </c>
      <c r="J372" s="10">
        <f t="shared" si="5"/>
        <v>350</v>
      </c>
      <c r="K372" s="8" t="s">
        <v>70</v>
      </c>
    </row>
    <row r="373" spans="1:11" x14ac:dyDescent="0.3">
      <c r="A373" s="8" t="s">
        <v>621</v>
      </c>
      <c r="B373" s="8" t="s">
        <v>569</v>
      </c>
      <c r="C373" s="8" t="s">
        <v>27</v>
      </c>
      <c r="D373" s="8" t="s">
        <v>35</v>
      </c>
      <c r="E373" s="8" t="s">
        <v>75</v>
      </c>
      <c r="F373" s="17">
        <v>46076</v>
      </c>
      <c r="G373" s="8">
        <v>5</v>
      </c>
      <c r="H373" s="8">
        <v>2</v>
      </c>
      <c r="I373" s="10">
        <v>502</v>
      </c>
      <c r="J373" s="10">
        <f t="shared" si="5"/>
        <v>2510</v>
      </c>
      <c r="K373" s="8" t="s">
        <v>80</v>
      </c>
    </row>
    <row r="374" spans="1:11" x14ac:dyDescent="0.3">
      <c r="A374" s="8" t="s">
        <v>622</v>
      </c>
      <c r="B374" s="8" t="s">
        <v>307</v>
      </c>
      <c r="C374" s="8" t="s">
        <v>26</v>
      </c>
      <c r="D374" s="8" t="s">
        <v>38</v>
      </c>
      <c r="E374" s="8" t="s">
        <v>69</v>
      </c>
      <c r="F374" s="17">
        <v>46061</v>
      </c>
      <c r="G374" s="8">
        <v>9</v>
      </c>
      <c r="H374" s="8">
        <v>3</v>
      </c>
      <c r="I374" s="10">
        <v>452</v>
      </c>
      <c r="J374" s="10">
        <f t="shared" si="5"/>
        <v>4068</v>
      </c>
      <c r="K374" s="8" t="s">
        <v>70</v>
      </c>
    </row>
    <row r="375" spans="1:11" x14ac:dyDescent="0.3">
      <c r="A375" s="8" t="s">
        <v>623</v>
      </c>
      <c r="B375" s="8" t="s">
        <v>488</v>
      </c>
      <c r="C375" s="8" t="s">
        <v>27</v>
      </c>
      <c r="D375" s="8" t="s">
        <v>37</v>
      </c>
      <c r="E375" s="8" t="s">
        <v>63</v>
      </c>
      <c r="F375" s="17">
        <v>46160</v>
      </c>
      <c r="G375" s="8">
        <v>7</v>
      </c>
      <c r="H375" s="8">
        <v>2</v>
      </c>
      <c r="I375" s="10">
        <v>448</v>
      </c>
      <c r="J375" s="10">
        <f t="shared" si="5"/>
        <v>3136</v>
      </c>
      <c r="K375" s="8" t="s">
        <v>70</v>
      </c>
    </row>
    <row r="376" spans="1:11" x14ac:dyDescent="0.3">
      <c r="A376" s="8" t="s">
        <v>624</v>
      </c>
      <c r="B376" s="8" t="s">
        <v>450</v>
      </c>
      <c r="C376" s="8" t="s">
        <v>24</v>
      </c>
      <c r="D376" s="8" t="s">
        <v>39</v>
      </c>
      <c r="E376" s="8" t="s">
        <v>69</v>
      </c>
      <c r="F376" s="17">
        <v>46208</v>
      </c>
      <c r="G376" s="8">
        <v>3</v>
      </c>
      <c r="H376" s="8">
        <v>1</v>
      </c>
      <c r="I376" s="10">
        <v>185</v>
      </c>
      <c r="J376" s="10">
        <f t="shared" si="5"/>
        <v>555</v>
      </c>
      <c r="K376" s="8" t="s">
        <v>66</v>
      </c>
    </row>
    <row r="377" spans="1:11" x14ac:dyDescent="0.3">
      <c r="A377" s="8" t="s">
        <v>625</v>
      </c>
      <c r="B377" s="8" t="s">
        <v>287</v>
      </c>
      <c r="C377" s="8" t="s">
        <v>25</v>
      </c>
      <c r="D377" s="8" t="s">
        <v>39</v>
      </c>
      <c r="E377" s="8" t="s">
        <v>63</v>
      </c>
      <c r="F377" s="17">
        <v>46147</v>
      </c>
      <c r="G377" s="8">
        <v>8</v>
      </c>
      <c r="H377" s="8">
        <v>2</v>
      </c>
      <c r="I377" s="10">
        <v>138</v>
      </c>
      <c r="J377" s="10">
        <f t="shared" si="5"/>
        <v>1104</v>
      </c>
      <c r="K377" s="8" t="s">
        <v>70</v>
      </c>
    </row>
    <row r="378" spans="1:11" x14ac:dyDescent="0.3">
      <c r="A378" s="8" t="s">
        <v>626</v>
      </c>
      <c r="B378" s="8" t="s">
        <v>112</v>
      </c>
      <c r="C378" s="8" t="s">
        <v>25</v>
      </c>
      <c r="D378" s="8" t="s">
        <v>34</v>
      </c>
      <c r="E378" s="8" t="s">
        <v>75</v>
      </c>
      <c r="F378" s="17">
        <v>46182</v>
      </c>
      <c r="G378" s="8">
        <v>1</v>
      </c>
      <c r="H378" s="8">
        <v>2</v>
      </c>
      <c r="I378" s="10">
        <v>109</v>
      </c>
      <c r="J378" s="10">
        <f t="shared" si="5"/>
        <v>109</v>
      </c>
      <c r="K378" s="8" t="s">
        <v>70</v>
      </c>
    </row>
    <row r="379" spans="1:11" x14ac:dyDescent="0.3">
      <c r="A379" s="8" t="s">
        <v>627</v>
      </c>
      <c r="B379" s="8" t="s">
        <v>628</v>
      </c>
      <c r="C379" s="8" t="s">
        <v>27</v>
      </c>
      <c r="D379" s="8" t="s">
        <v>36</v>
      </c>
      <c r="E379" s="8" t="s">
        <v>63</v>
      </c>
      <c r="F379" s="17">
        <v>46089</v>
      </c>
      <c r="G379" s="8">
        <v>1</v>
      </c>
      <c r="H379" s="8">
        <v>2</v>
      </c>
      <c r="I379" s="10">
        <v>507</v>
      </c>
      <c r="J379" s="10">
        <f t="shared" si="5"/>
        <v>507</v>
      </c>
      <c r="K379" s="8" t="s">
        <v>70</v>
      </c>
    </row>
    <row r="380" spans="1:11" x14ac:dyDescent="0.3">
      <c r="A380" s="8" t="s">
        <v>629</v>
      </c>
      <c r="B380" s="8" t="s">
        <v>136</v>
      </c>
      <c r="C380" s="8" t="s">
        <v>27</v>
      </c>
      <c r="D380" s="8" t="s">
        <v>35</v>
      </c>
      <c r="E380" s="8" t="s">
        <v>69</v>
      </c>
      <c r="F380" s="17">
        <v>46106</v>
      </c>
      <c r="G380" s="8">
        <v>2</v>
      </c>
      <c r="H380" s="8">
        <v>3</v>
      </c>
      <c r="I380" s="10">
        <v>500</v>
      </c>
      <c r="J380" s="10">
        <f t="shared" si="5"/>
        <v>1000</v>
      </c>
      <c r="K380" s="8" t="s">
        <v>60</v>
      </c>
    </row>
    <row r="381" spans="1:11" x14ac:dyDescent="0.3">
      <c r="A381" s="8" t="s">
        <v>630</v>
      </c>
      <c r="B381" s="8" t="s">
        <v>237</v>
      </c>
      <c r="C381" s="8" t="s">
        <v>27</v>
      </c>
      <c r="D381" s="8" t="s">
        <v>36</v>
      </c>
      <c r="E381" s="8" t="s">
        <v>69</v>
      </c>
      <c r="F381" s="17">
        <v>46065</v>
      </c>
      <c r="G381" s="8">
        <v>6</v>
      </c>
      <c r="H381" s="8">
        <v>3</v>
      </c>
      <c r="I381" s="10">
        <v>389</v>
      </c>
      <c r="J381" s="10">
        <f t="shared" si="5"/>
        <v>2334</v>
      </c>
      <c r="K381" s="8" t="s">
        <v>70</v>
      </c>
    </row>
    <row r="382" spans="1:11" x14ac:dyDescent="0.3">
      <c r="A382" s="8" t="s">
        <v>631</v>
      </c>
      <c r="B382" s="8" t="s">
        <v>448</v>
      </c>
      <c r="C382" s="8" t="s">
        <v>26</v>
      </c>
      <c r="D382" s="8" t="s">
        <v>36</v>
      </c>
      <c r="E382" s="8" t="s">
        <v>75</v>
      </c>
      <c r="F382" s="17">
        <v>46048</v>
      </c>
      <c r="G382" s="8">
        <v>10</v>
      </c>
      <c r="H382" s="8">
        <v>1</v>
      </c>
      <c r="I382" s="10">
        <v>736</v>
      </c>
      <c r="J382" s="10">
        <f t="shared" si="5"/>
        <v>7360</v>
      </c>
      <c r="K382" s="8" t="s">
        <v>80</v>
      </c>
    </row>
    <row r="383" spans="1:11" x14ac:dyDescent="0.3">
      <c r="A383" s="8" t="s">
        <v>632</v>
      </c>
      <c r="B383" s="8" t="s">
        <v>398</v>
      </c>
      <c r="C383" s="8" t="s">
        <v>24</v>
      </c>
      <c r="D383" s="8" t="s">
        <v>35</v>
      </c>
      <c r="E383" s="8" t="s">
        <v>75</v>
      </c>
      <c r="F383" s="17">
        <v>46218</v>
      </c>
      <c r="G383" s="8">
        <v>9</v>
      </c>
      <c r="H383" s="8">
        <v>3</v>
      </c>
      <c r="I383" s="10">
        <v>211</v>
      </c>
      <c r="J383" s="10">
        <f t="shared" si="5"/>
        <v>1899</v>
      </c>
      <c r="K383" s="8" t="s">
        <v>66</v>
      </c>
    </row>
    <row r="384" spans="1:11" x14ac:dyDescent="0.3">
      <c r="A384" s="8" t="s">
        <v>633</v>
      </c>
      <c r="B384" s="8" t="s">
        <v>166</v>
      </c>
      <c r="C384" s="8" t="s">
        <v>26</v>
      </c>
      <c r="D384" s="8" t="s">
        <v>38</v>
      </c>
      <c r="E384" s="8" t="s">
        <v>59</v>
      </c>
      <c r="F384" s="17">
        <v>46098</v>
      </c>
      <c r="G384" s="8">
        <v>8</v>
      </c>
      <c r="H384" s="8">
        <v>2</v>
      </c>
      <c r="I384" s="10">
        <v>745</v>
      </c>
      <c r="J384" s="10">
        <f t="shared" si="5"/>
        <v>5960</v>
      </c>
      <c r="K384" s="8" t="s">
        <v>66</v>
      </c>
    </row>
    <row r="385" spans="1:11" x14ac:dyDescent="0.3">
      <c r="A385" s="8" t="s">
        <v>634</v>
      </c>
      <c r="B385" s="8" t="s">
        <v>305</v>
      </c>
      <c r="C385" s="8" t="s">
        <v>26</v>
      </c>
      <c r="D385" s="8" t="s">
        <v>35</v>
      </c>
      <c r="E385" s="8" t="s">
        <v>59</v>
      </c>
      <c r="F385" s="17">
        <v>46188</v>
      </c>
      <c r="G385" s="8">
        <v>4</v>
      </c>
      <c r="H385" s="8">
        <v>4</v>
      </c>
      <c r="I385" s="10">
        <v>464</v>
      </c>
      <c r="J385" s="10">
        <f t="shared" si="5"/>
        <v>1856</v>
      </c>
      <c r="K385" s="8" t="s">
        <v>60</v>
      </c>
    </row>
    <row r="386" spans="1:11" x14ac:dyDescent="0.3">
      <c r="A386" s="8" t="s">
        <v>635</v>
      </c>
      <c r="B386" s="8" t="s">
        <v>636</v>
      </c>
      <c r="C386" s="8" t="s">
        <v>23</v>
      </c>
      <c r="D386" s="8" t="s">
        <v>37</v>
      </c>
      <c r="E386" s="8" t="s">
        <v>63</v>
      </c>
      <c r="F386" s="17">
        <v>46146</v>
      </c>
      <c r="G386" s="8">
        <v>5</v>
      </c>
      <c r="H386" s="8">
        <v>1</v>
      </c>
      <c r="I386" s="10">
        <v>290</v>
      </c>
      <c r="J386" s="10">
        <f t="shared" ref="J386:J449" si="6">G386*I386</f>
        <v>1450</v>
      </c>
      <c r="K386" s="8" t="s">
        <v>60</v>
      </c>
    </row>
    <row r="387" spans="1:11" x14ac:dyDescent="0.3">
      <c r="A387" s="8" t="s">
        <v>637</v>
      </c>
      <c r="B387" s="8" t="s">
        <v>398</v>
      </c>
      <c r="C387" s="8" t="s">
        <v>27</v>
      </c>
      <c r="D387" s="8" t="s">
        <v>37</v>
      </c>
      <c r="E387" s="8" t="s">
        <v>63</v>
      </c>
      <c r="F387" s="17">
        <v>46147</v>
      </c>
      <c r="G387" s="8">
        <v>9</v>
      </c>
      <c r="H387" s="8">
        <v>4</v>
      </c>
      <c r="I387" s="10">
        <v>434</v>
      </c>
      <c r="J387" s="10">
        <f t="shared" si="6"/>
        <v>3906</v>
      </c>
      <c r="K387" s="8" t="s">
        <v>60</v>
      </c>
    </row>
    <row r="388" spans="1:11" x14ac:dyDescent="0.3">
      <c r="A388" s="8" t="s">
        <v>638</v>
      </c>
      <c r="B388" s="8" t="s">
        <v>366</v>
      </c>
      <c r="C388" s="8" t="s">
        <v>26</v>
      </c>
      <c r="D388" s="8" t="s">
        <v>34</v>
      </c>
      <c r="E388" s="8" t="s">
        <v>63</v>
      </c>
      <c r="F388" s="17">
        <v>46023</v>
      </c>
      <c r="G388" s="8">
        <v>8</v>
      </c>
      <c r="H388" s="8">
        <v>2</v>
      </c>
      <c r="I388" s="10">
        <v>742</v>
      </c>
      <c r="J388" s="10">
        <f t="shared" si="6"/>
        <v>5936</v>
      </c>
      <c r="K388" s="8" t="s">
        <v>66</v>
      </c>
    </row>
    <row r="389" spans="1:11" x14ac:dyDescent="0.3">
      <c r="A389" s="8" t="s">
        <v>639</v>
      </c>
      <c r="B389" s="8" t="s">
        <v>94</v>
      </c>
      <c r="C389" s="8" t="s">
        <v>27</v>
      </c>
      <c r="D389" s="8" t="s">
        <v>36</v>
      </c>
      <c r="E389" s="8" t="s">
        <v>75</v>
      </c>
      <c r="F389" s="17">
        <v>46161</v>
      </c>
      <c r="G389" s="8">
        <v>8</v>
      </c>
      <c r="H389" s="8">
        <v>1</v>
      </c>
      <c r="I389" s="10">
        <v>391</v>
      </c>
      <c r="J389" s="10">
        <f t="shared" si="6"/>
        <v>3128</v>
      </c>
      <c r="K389" s="8" t="s">
        <v>70</v>
      </c>
    </row>
    <row r="390" spans="1:11" x14ac:dyDescent="0.3">
      <c r="A390" s="8" t="s">
        <v>640</v>
      </c>
      <c r="B390" s="8" t="s">
        <v>366</v>
      </c>
      <c r="C390" s="8" t="s">
        <v>23</v>
      </c>
      <c r="D390" s="8" t="s">
        <v>34</v>
      </c>
      <c r="E390" s="8" t="s">
        <v>69</v>
      </c>
      <c r="F390" s="17">
        <v>46080</v>
      </c>
      <c r="G390" s="8">
        <v>5</v>
      </c>
      <c r="H390" s="8">
        <v>2</v>
      </c>
      <c r="I390" s="10">
        <v>399</v>
      </c>
      <c r="J390" s="10">
        <f t="shared" si="6"/>
        <v>1995</v>
      </c>
      <c r="K390" s="8" t="s">
        <v>66</v>
      </c>
    </row>
    <row r="391" spans="1:11" x14ac:dyDescent="0.3">
      <c r="A391" s="8" t="s">
        <v>641</v>
      </c>
      <c r="B391" s="8" t="s">
        <v>455</v>
      </c>
      <c r="C391" s="8" t="s">
        <v>23</v>
      </c>
      <c r="D391" s="8" t="s">
        <v>37</v>
      </c>
      <c r="E391" s="8" t="s">
        <v>59</v>
      </c>
      <c r="F391" s="17">
        <v>46118</v>
      </c>
      <c r="G391" s="8">
        <v>2</v>
      </c>
      <c r="H391" s="8">
        <v>3</v>
      </c>
      <c r="I391" s="10">
        <v>272</v>
      </c>
      <c r="J391" s="10">
        <f t="shared" si="6"/>
        <v>544</v>
      </c>
      <c r="K391" s="8" t="s">
        <v>70</v>
      </c>
    </row>
    <row r="392" spans="1:11" x14ac:dyDescent="0.3">
      <c r="A392" s="8" t="s">
        <v>642</v>
      </c>
      <c r="B392" s="8" t="s">
        <v>117</v>
      </c>
      <c r="C392" s="8" t="s">
        <v>27</v>
      </c>
      <c r="D392" s="8" t="s">
        <v>34</v>
      </c>
      <c r="E392" s="8" t="s">
        <v>59</v>
      </c>
      <c r="F392" s="17">
        <v>46211</v>
      </c>
      <c r="G392" s="8">
        <v>9</v>
      </c>
      <c r="H392" s="8">
        <v>4</v>
      </c>
      <c r="I392" s="10">
        <v>376</v>
      </c>
      <c r="J392" s="10">
        <f t="shared" si="6"/>
        <v>3384</v>
      </c>
      <c r="K392" s="8" t="s">
        <v>66</v>
      </c>
    </row>
    <row r="393" spans="1:11" x14ac:dyDescent="0.3">
      <c r="A393" s="8" t="s">
        <v>643</v>
      </c>
      <c r="B393" s="8" t="s">
        <v>495</v>
      </c>
      <c r="C393" s="8" t="s">
        <v>25</v>
      </c>
      <c r="D393" s="8" t="s">
        <v>37</v>
      </c>
      <c r="E393" s="8" t="s">
        <v>63</v>
      </c>
      <c r="F393" s="17">
        <v>46240</v>
      </c>
      <c r="G393" s="8">
        <v>5</v>
      </c>
      <c r="H393" s="8">
        <v>2</v>
      </c>
      <c r="I393" s="10">
        <v>124</v>
      </c>
      <c r="J393" s="10">
        <f t="shared" si="6"/>
        <v>620</v>
      </c>
      <c r="K393" s="8" t="s">
        <v>66</v>
      </c>
    </row>
    <row r="394" spans="1:11" x14ac:dyDescent="0.3">
      <c r="A394" s="8" t="s">
        <v>644</v>
      </c>
      <c r="B394" s="8" t="s">
        <v>177</v>
      </c>
      <c r="C394" s="8" t="s">
        <v>24</v>
      </c>
      <c r="D394" s="8" t="s">
        <v>36</v>
      </c>
      <c r="E394" s="8" t="s">
        <v>63</v>
      </c>
      <c r="F394" s="17">
        <v>46196</v>
      </c>
      <c r="G394" s="8">
        <v>7</v>
      </c>
      <c r="H394" s="8">
        <v>2</v>
      </c>
      <c r="I394" s="10">
        <v>238</v>
      </c>
      <c r="J394" s="10">
        <f t="shared" si="6"/>
        <v>1666</v>
      </c>
      <c r="K394" s="8" t="s">
        <v>80</v>
      </c>
    </row>
    <row r="395" spans="1:11" x14ac:dyDescent="0.3">
      <c r="A395" s="8" t="s">
        <v>645</v>
      </c>
      <c r="B395" s="8" t="s">
        <v>390</v>
      </c>
      <c r="C395" s="8" t="s">
        <v>25</v>
      </c>
      <c r="D395" s="8" t="s">
        <v>37</v>
      </c>
      <c r="E395" s="8" t="s">
        <v>63</v>
      </c>
      <c r="F395" s="17">
        <v>46243</v>
      </c>
      <c r="G395" s="8">
        <v>3</v>
      </c>
      <c r="H395" s="8">
        <v>3</v>
      </c>
      <c r="I395" s="10">
        <v>115</v>
      </c>
      <c r="J395" s="10">
        <f t="shared" si="6"/>
        <v>345</v>
      </c>
      <c r="K395" s="8" t="s">
        <v>66</v>
      </c>
    </row>
    <row r="396" spans="1:11" x14ac:dyDescent="0.3">
      <c r="A396" s="8" t="s">
        <v>646</v>
      </c>
      <c r="B396" s="8" t="s">
        <v>647</v>
      </c>
      <c r="C396" s="8" t="s">
        <v>27</v>
      </c>
      <c r="D396" s="8" t="s">
        <v>34</v>
      </c>
      <c r="E396" s="8" t="s">
        <v>59</v>
      </c>
      <c r="F396" s="17">
        <v>46141</v>
      </c>
      <c r="G396" s="8">
        <v>10</v>
      </c>
      <c r="H396" s="8">
        <v>3</v>
      </c>
      <c r="I396" s="10">
        <v>437</v>
      </c>
      <c r="J396" s="10">
        <f t="shared" si="6"/>
        <v>4370</v>
      </c>
      <c r="K396" s="8" t="s">
        <v>70</v>
      </c>
    </row>
    <row r="397" spans="1:11" x14ac:dyDescent="0.3">
      <c r="A397" s="8" t="s">
        <v>648</v>
      </c>
      <c r="B397" s="8" t="s">
        <v>495</v>
      </c>
      <c r="C397" s="8" t="s">
        <v>27</v>
      </c>
      <c r="D397" s="8" t="s">
        <v>35</v>
      </c>
      <c r="E397" s="8" t="s">
        <v>75</v>
      </c>
      <c r="F397" s="17">
        <v>46189</v>
      </c>
      <c r="G397" s="8">
        <v>5</v>
      </c>
      <c r="H397" s="8">
        <v>2</v>
      </c>
      <c r="I397" s="10">
        <v>505</v>
      </c>
      <c r="J397" s="10">
        <f t="shared" si="6"/>
        <v>2525</v>
      </c>
      <c r="K397" s="8" t="s">
        <v>70</v>
      </c>
    </row>
    <row r="398" spans="1:11" x14ac:dyDescent="0.3">
      <c r="A398" s="8" t="s">
        <v>649</v>
      </c>
      <c r="B398" s="8" t="s">
        <v>92</v>
      </c>
      <c r="C398" s="8" t="s">
        <v>27</v>
      </c>
      <c r="D398" s="8" t="s">
        <v>37</v>
      </c>
      <c r="E398" s="8" t="s">
        <v>63</v>
      </c>
      <c r="F398" s="17">
        <v>46098</v>
      </c>
      <c r="G398" s="8">
        <v>7</v>
      </c>
      <c r="H398" s="8">
        <v>3</v>
      </c>
      <c r="I398" s="10">
        <v>395</v>
      </c>
      <c r="J398" s="10">
        <f t="shared" si="6"/>
        <v>2765</v>
      </c>
      <c r="K398" s="8" t="s">
        <v>70</v>
      </c>
    </row>
    <row r="399" spans="1:11" x14ac:dyDescent="0.3">
      <c r="A399" s="8" t="s">
        <v>650</v>
      </c>
      <c r="B399" s="8" t="s">
        <v>110</v>
      </c>
      <c r="C399" s="8" t="s">
        <v>27</v>
      </c>
      <c r="D399" s="8" t="s">
        <v>39</v>
      </c>
      <c r="E399" s="8" t="s">
        <v>63</v>
      </c>
      <c r="F399" s="17">
        <v>46092</v>
      </c>
      <c r="G399" s="8">
        <v>6</v>
      </c>
      <c r="H399" s="8">
        <v>4</v>
      </c>
      <c r="I399" s="10">
        <v>458</v>
      </c>
      <c r="J399" s="10">
        <f t="shared" si="6"/>
        <v>2748</v>
      </c>
      <c r="K399" s="8" t="s">
        <v>60</v>
      </c>
    </row>
    <row r="400" spans="1:11" x14ac:dyDescent="0.3">
      <c r="A400" s="8" t="s">
        <v>651</v>
      </c>
      <c r="B400" s="8" t="s">
        <v>274</v>
      </c>
      <c r="C400" s="8" t="s">
        <v>23</v>
      </c>
      <c r="D400" s="8" t="s">
        <v>34</v>
      </c>
      <c r="E400" s="8" t="s">
        <v>69</v>
      </c>
      <c r="F400" s="17">
        <v>46170</v>
      </c>
      <c r="G400" s="8">
        <v>5</v>
      </c>
      <c r="H400" s="8">
        <v>2</v>
      </c>
      <c r="I400" s="10">
        <v>304</v>
      </c>
      <c r="J400" s="10">
        <f t="shared" si="6"/>
        <v>1520</v>
      </c>
      <c r="K400" s="8" t="s">
        <v>66</v>
      </c>
    </row>
    <row r="401" spans="1:11" x14ac:dyDescent="0.3">
      <c r="A401" s="8" t="s">
        <v>652</v>
      </c>
      <c r="B401" s="8" t="s">
        <v>130</v>
      </c>
      <c r="C401" s="8" t="s">
        <v>26</v>
      </c>
      <c r="D401" s="8" t="s">
        <v>39</v>
      </c>
      <c r="E401" s="8" t="s">
        <v>69</v>
      </c>
      <c r="F401" s="17">
        <v>46234</v>
      </c>
      <c r="G401" s="8">
        <v>6</v>
      </c>
      <c r="H401" s="8">
        <v>3</v>
      </c>
      <c r="I401" s="10">
        <v>482</v>
      </c>
      <c r="J401" s="10">
        <f t="shared" si="6"/>
        <v>2892</v>
      </c>
      <c r="K401" s="8" t="s">
        <v>66</v>
      </c>
    </row>
    <row r="402" spans="1:11" x14ac:dyDescent="0.3">
      <c r="A402" s="8" t="s">
        <v>653</v>
      </c>
      <c r="B402" s="8" t="s">
        <v>525</v>
      </c>
      <c r="C402" s="8" t="s">
        <v>27</v>
      </c>
      <c r="D402" s="8" t="s">
        <v>39</v>
      </c>
      <c r="E402" s="8" t="s">
        <v>63</v>
      </c>
      <c r="F402" s="17">
        <v>46122</v>
      </c>
      <c r="G402" s="8">
        <v>3</v>
      </c>
      <c r="H402" s="8">
        <v>4</v>
      </c>
      <c r="I402" s="10">
        <v>435</v>
      </c>
      <c r="J402" s="10">
        <f t="shared" si="6"/>
        <v>1305</v>
      </c>
      <c r="K402" s="8" t="s">
        <v>66</v>
      </c>
    </row>
    <row r="403" spans="1:11" x14ac:dyDescent="0.3">
      <c r="A403" s="8" t="s">
        <v>654</v>
      </c>
      <c r="B403" s="8" t="s">
        <v>580</v>
      </c>
      <c r="C403" s="8" t="s">
        <v>23</v>
      </c>
      <c r="D403" s="8" t="s">
        <v>38</v>
      </c>
      <c r="E403" s="8" t="s">
        <v>75</v>
      </c>
      <c r="F403" s="17">
        <v>46162</v>
      </c>
      <c r="G403" s="8">
        <v>5</v>
      </c>
      <c r="H403" s="8">
        <v>3</v>
      </c>
      <c r="I403" s="10">
        <v>288</v>
      </c>
      <c r="J403" s="10">
        <f t="shared" si="6"/>
        <v>1440</v>
      </c>
      <c r="K403" s="8" t="s">
        <v>66</v>
      </c>
    </row>
    <row r="404" spans="1:11" x14ac:dyDescent="0.3">
      <c r="A404" s="8" t="s">
        <v>655</v>
      </c>
      <c r="B404" s="8" t="s">
        <v>305</v>
      </c>
      <c r="C404" s="8" t="s">
        <v>26</v>
      </c>
      <c r="D404" s="8" t="s">
        <v>38</v>
      </c>
      <c r="E404" s="8" t="s">
        <v>59</v>
      </c>
      <c r="F404" s="17">
        <v>46215</v>
      </c>
      <c r="G404" s="8">
        <v>6</v>
      </c>
      <c r="H404" s="8">
        <v>2</v>
      </c>
      <c r="I404" s="10">
        <v>608</v>
      </c>
      <c r="J404" s="10">
        <f t="shared" si="6"/>
        <v>3648</v>
      </c>
      <c r="K404" s="8" t="s">
        <v>70</v>
      </c>
    </row>
    <row r="405" spans="1:11" x14ac:dyDescent="0.3">
      <c r="A405" s="8" t="s">
        <v>656</v>
      </c>
      <c r="B405" s="8" t="s">
        <v>657</v>
      </c>
      <c r="C405" s="8" t="s">
        <v>25</v>
      </c>
      <c r="D405" s="8" t="s">
        <v>36</v>
      </c>
      <c r="E405" s="8" t="s">
        <v>59</v>
      </c>
      <c r="F405" s="17">
        <v>46116</v>
      </c>
      <c r="G405" s="8">
        <v>1</v>
      </c>
      <c r="H405" s="8">
        <v>2</v>
      </c>
      <c r="I405" s="10">
        <v>171</v>
      </c>
      <c r="J405" s="10">
        <f t="shared" si="6"/>
        <v>171</v>
      </c>
      <c r="K405" s="8" t="s">
        <v>70</v>
      </c>
    </row>
    <row r="406" spans="1:11" x14ac:dyDescent="0.3">
      <c r="A406" s="8" t="s">
        <v>658</v>
      </c>
      <c r="B406" s="8" t="s">
        <v>219</v>
      </c>
      <c r="C406" s="8" t="s">
        <v>25</v>
      </c>
      <c r="D406" s="8" t="s">
        <v>37</v>
      </c>
      <c r="E406" s="8" t="s">
        <v>63</v>
      </c>
      <c r="F406" s="17">
        <v>46231</v>
      </c>
      <c r="G406" s="8">
        <v>5</v>
      </c>
      <c r="H406" s="8">
        <v>4</v>
      </c>
      <c r="I406" s="10">
        <v>102</v>
      </c>
      <c r="J406" s="10">
        <f t="shared" si="6"/>
        <v>510</v>
      </c>
      <c r="K406" s="8" t="s">
        <v>80</v>
      </c>
    </row>
    <row r="407" spans="1:11" x14ac:dyDescent="0.3">
      <c r="A407" s="8" t="s">
        <v>659</v>
      </c>
      <c r="B407" s="8" t="s">
        <v>226</v>
      </c>
      <c r="C407" s="8" t="s">
        <v>24</v>
      </c>
      <c r="D407" s="8" t="s">
        <v>38</v>
      </c>
      <c r="E407" s="8" t="s">
        <v>75</v>
      </c>
      <c r="F407" s="17">
        <v>46134</v>
      </c>
      <c r="G407" s="8">
        <v>6</v>
      </c>
      <c r="H407" s="8">
        <v>2</v>
      </c>
      <c r="I407" s="10">
        <v>197</v>
      </c>
      <c r="J407" s="10">
        <f t="shared" si="6"/>
        <v>1182</v>
      </c>
      <c r="K407" s="8" t="s">
        <v>70</v>
      </c>
    </row>
    <row r="408" spans="1:11" x14ac:dyDescent="0.3">
      <c r="A408" s="8" t="s">
        <v>660</v>
      </c>
      <c r="B408" s="8" t="s">
        <v>125</v>
      </c>
      <c r="C408" s="8" t="s">
        <v>25</v>
      </c>
      <c r="D408" s="8" t="s">
        <v>34</v>
      </c>
      <c r="E408" s="8" t="s">
        <v>59</v>
      </c>
      <c r="F408" s="17">
        <v>46165</v>
      </c>
      <c r="G408" s="8">
        <v>1</v>
      </c>
      <c r="H408" s="8">
        <v>4</v>
      </c>
      <c r="I408" s="10">
        <v>165</v>
      </c>
      <c r="J408" s="10">
        <f t="shared" si="6"/>
        <v>165</v>
      </c>
      <c r="K408" s="8" t="s">
        <v>66</v>
      </c>
    </row>
    <row r="409" spans="1:11" x14ac:dyDescent="0.3">
      <c r="A409" s="8" t="s">
        <v>661</v>
      </c>
      <c r="B409" s="8" t="s">
        <v>662</v>
      </c>
      <c r="C409" s="8" t="s">
        <v>26</v>
      </c>
      <c r="D409" s="8" t="s">
        <v>39</v>
      </c>
      <c r="E409" s="8" t="s">
        <v>59</v>
      </c>
      <c r="F409" s="17">
        <v>46170</v>
      </c>
      <c r="G409" s="8">
        <v>10</v>
      </c>
      <c r="H409" s="8">
        <v>2</v>
      </c>
      <c r="I409" s="10">
        <v>618</v>
      </c>
      <c r="J409" s="10">
        <f t="shared" si="6"/>
        <v>6180</v>
      </c>
      <c r="K409" s="8" t="s">
        <v>70</v>
      </c>
    </row>
    <row r="410" spans="1:11" x14ac:dyDescent="0.3">
      <c r="A410" s="8" t="s">
        <v>663</v>
      </c>
      <c r="B410" s="8" t="s">
        <v>119</v>
      </c>
      <c r="C410" s="8" t="s">
        <v>26</v>
      </c>
      <c r="D410" s="8" t="s">
        <v>38</v>
      </c>
      <c r="E410" s="8" t="s">
        <v>69</v>
      </c>
      <c r="F410" s="17">
        <v>46029</v>
      </c>
      <c r="G410" s="8">
        <v>6</v>
      </c>
      <c r="H410" s="8">
        <v>3</v>
      </c>
      <c r="I410" s="10">
        <v>737</v>
      </c>
      <c r="J410" s="10">
        <f t="shared" si="6"/>
        <v>4422</v>
      </c>
      <c r="K410" s="8" t="s">
        <v>60</v>
      </c>
    </row>
    <row r="411" spans="1:11" x14ac:dyDescent="0.3">
      <c r="A411" s="8" t="s">
        <v>664</v>
      </c>
      <c r="B411" s="8" t="s">
        <v>121</v>
      </c>
      <c r="C411" s="8" t="s">
        <v>25</v>
      </c>
      <c r="D411" s="8" t="s">
        <v>38</v>
      </c>
      <c r="E411" s="8" t="s">
        <v>69</v>
      </c>
      <c r="F411" s="17">
        <v>46129</v>
      </c>
      <c r="G411" s="8">
        <v>2</v>
      </c>
      <c r="H411" s="8">
        <v>1</v>
      </c>
      <c r="I411" s="10">
        <v>118</v>
      </c>
      <c r="J411" s="10">
        <f t="shared" si="6"/>
        <v>236</v>
      </c>
      <c r="K411" s="8" t="s">
        <v>80</v>
      </c>
    </row>
    <row r="412" spans="1:11" x14ac:dyDescent="0.3">
      <c r="A412" s="8" t="s">
        <v>665</v>
      </c>
      <c r="B412" s="8" t="s">
        <v>217</v>
      </c>
      <c r="C412" s="8" t="s">
        <v>25</v>
      </c>
      <c r="D412" s="8" t="s">
        <v>37</v>
      </c>
      <c r="E412" s="8" t="s">
        <v>63</v>
      </c>
      <c r="F412" s="17">
        <v>46217</v>
      </c>
      <c r="G412" s="8">
        <v>10</v>
      </c>
      <c r="H412" s="8">
        <v>3</v>
      </c>
      <c r="I412" s="10">
        <v>103</v>
      </c>
      <c r="J412" s="10">
        <f t="shared" si="6"/>
        <v>1030</v>
      </c>
      <c r="K412" s="8" t="s">
        <v>70</v>
      </c>
    </row>
    <row r="413" spans="1:11" x14ac:dyDescent="0.3">
      <c r="A413" s="8" t="s">
        <v>666</v>
      </c>
      <c r="B413" s="8" t="s">
        <v>657</v>
      </c>
      <c r="C413" s="8" t="s">
        <v>23</v>
      </c>
      <c r="D413" s="8" t="s">
        <v>39</v>
      </c>
      <c r="E413" s="8" t="s">
        <v>59</v>
      </c>
      <c r="F413" s="17">
        <v>46051</v>
      </c>
      <c r="G413" s="8">
        <v>3</v>
      </c>
      <c r="H413" s="8">
        <v>2</v>
      </c>
      <c r="I413" s="10">
        <v>390</v>
      </c>
      <c r="J413" s="10">
        <f t="shared" si="6"/>
        <v>1170</v>
      </c>
      <c r="K413" s="8" t="s">
        <v>80</v>
      </c>
    </row>
    <row r="414" spans="1:11" x14ac:dyDescent="0.3">
      <c r="A414" s="8" t="s">
        <v>667</v>
      </c>
      <c r="B414" s="8" t="s">
        <v>196</v>
      </c>
      <c r="C414" s="8" t="s">
        <v>23</v>
      </c>
      <c r="D414" s="8" t="s">
        <v>36</v>
      </c>
      <c r="E414" s="8" t="s">
        <v>75</v>
      </c>
      <c r="F414" s="17">
        <v>46138</v>
      </c>
      <c r="G414" s="8">
        <v>8</v>
      </c>
      <c r="H414" s="8">
        <v>2</v>
      </c>
      <c r="I414" s="10">
        <v>354</v>
      </c>
      <c r="J414" s="10">
        <f t="shared" si="6"/>
        <v>2832</v>
      </c>
      <c r="K414" s="8" t="s">
        <v>66</v>
      </c>
    </row>
    <row r="415" spans="1:11" x14ac:dyDescent="0.3">
      <c r="A415" s="8" t="s">
        <v>668</v>
      </c>
      <c r="B415" s="8" t="s">
        <v>669</v>
      </c>
      <c r="C415" s="8" t="s">
        <v>23</v>
      </c>
      <c r="D415" s="8" t="s">
        <v>37</v>
      </c>
      <c r="E415" s="8" t="s">
        <v>75</v>
      </c>
      <c r="F415" s="17">
        <v>46197</v>
      </c>
      <c r="G415" s="8">
        <v>1</v>
      </c>
      <c r="H415" s="8">
        <v>2</v>
      </c>
      <c r="I415" s="10">
        <v>326</v>
      </c>
      <c r="J415" s="10">
        <f t="shared" si="6"/>
        <v>326</v>
      </c>
      <c r="K415" s="8" t="s">
        <v>80</v>
      </c>
    </row>
    <row r="416" spans="1:11" x14ac:dyDescent="0.3">
      <c r="A416" s="8" t="s">
        <v>670</v>
      </c>
      <c r="B416" s="8" t="s">
        <v>382</v>
      </c>
      <c r="C416" s="8" t="s">
        <v>23</v>
      </c>
      <c r="D416" s="8" t="s">
        <v>35</v>
      </c>
      <c r="E416" s="8" t="s">
        <v>69</v>
      </c>
      <c r="F416" s="17">
        <v>46198</v>
      </c>
      <c r="G416" s="8">
        <v>1</v>
      </c>
      <c r="H416" s="8">
        <v>1</v>
      </c>
      <c r="I416" s="10">
        <v>308</v>
      </c>
      <c r="J416" s="10">
        <f t="shared" si="6"/>
        <v>308</v>
      </c>
      <c r="K416" s="8" t="s">
        <v>80</v>
      </c>
    </row>
    <row r="417" spans="1:11" x14ac:dyDescent="0.3">
      <c r="A417" s="8" t="s">
        <v>671</v>
      </c>
      <c r="B417" s="8" t="s">
        <v>269</v>
      </c>
      <c r="C417" s="8" t="s">
        <v>25</v>
      </c>
      <c r="D417" s="8" t="s">
        <v>38</v>
      </c>
      <c r="E417" s="8" t="s">
        <v>59</v>
      </c>
      <c r="F417" s="17">
        <v>46089</v>
      </c>
      <c r="G417" s="8">
        <v>7</v>
      </c>
      <c r="H417" s="8">
        <v>4</v>
      </c>
      <c r="I417" s="10">
        <v>118</v>
      </c>
      <c r="J417" s="10">
        <f t="shared" si="6"/>
        <v>826</v>
      </c>
      <c r="K417" s="8" t="s">
        <v>80</v>
      </c>
    </row>
    <row r="418" spans="1:11" x14ac:dyDescent="0.3">
      <c r="A418" s="8" t="s">
        <v>672</v>
      </c>
      <c r="B418" s="8" t="s">
        <v>469</v>
      </c>
      <c r="C418" s="8" t="s">
        <v>26</v>
      </c>
      <c r="D418" s="8" t="s">
        <v>37</v>
      </c>
      <c r="E418" s="8" t="s">
        <v>69</v>
      </c>
      <c r="F418" s="17">
        <v>46136</v>
      </c>
      <c r="G418" s="8">
        <v>10</v>
      </c>
      <c r="H418" s="8">
        <v>4</v>
      </c>
      <c r="I418" s="10">
        <v>659</v>
      </c>
      <c r="J418" s="10">
        <f t="shared" si="6"/>
        <v>6590</v>
      </c>
      <c r="K418" s="8" t="s">
        <v>70</v>
      </c>
    </row>
    <row r="419" spans="1:11" x14ac:dyDescent="0.3">
      <c r="A419" s="8" t="s">
        <v>673</v>
      </c>
      <c r="B419" s="8" t="s">
        <v>410</v>
      </c>
      <c r="C419" s="8" t="s">
        <v>24</v>
      </c>
      <c r="D419" s="8" t="s">
        <v>37</v>
      </c>
      <c r="E419" s="8" t="s">
        <v>75</v>
      </c>
      <c r="F419" s="17">
        <v>46060</v>
      </c>
      <c r="G419" s="8">
        <v>2</v>
      </c>
      <c r="H419" s="8">
        <v>1</v>
      </c>
      <c r="I419" s="10">
        <v>243</v>
      </c>
      <c r="J419" s="10">
        <f t="shared" si="6"/>
        <v>486</v>
      </c>
      <c r="K419" s="8" t="s">
        <v>70</v>
      </c>
    </row>
    <row r="420" spans="1:11" x14ac:dyDescent="0.3">
      <c r="A420" s="8" t="s">
        <v>674</v>
      </c>
      <c r="B420" s="8" t="s">
        <v>675</v>
      </c>
      <c r="C420" s="8" t="s">
        <v>26</v>
      </c>
      <c r="D420" s="8" t="s">
        <v>39</v>
      </c>
      <c r="E420" s="8" t="s">
        <v>69</v>
      </c>
      <c r="F420" s="17">
        <v>46114</v>
      </c>
      <c r="G420" s="8">
        <v>1</v>
      </c>
      <c r="H420" s="8">
        <v>4</v>
      </c>
      <c r="I420" s="10">
        <v>606</v>
      </c>
      <c r="J420" s="10">
        <f t="shared" si="6"/>
        <v>606</v>
      </c>
      <c r="K420" s="8" t="s">
        <v>70</v>
      </c>
    </row>
    <row r="421" spans="1:11" x14ac:dyDescent="0.3">
      <c r="A421" s="8" t="s">
        <v>676</v>
      </c>
      <c r="B421" s="8" t="s">
        <v>675</v>
      </c>
      <c r="C421" s="8" t="s">
        <v>26</v>
      </c>
      <c r="D421" s="8" t="s">
        <v>36</v>
      </c>
      <c r="E421" s="8" t="s">
        <v>59</v>
      </c>
      <c r="F421" s="17">
        <v>46108</v>
      </c>
      <c r="G421" s="8">
        <v>10</v>
      </c>
      <c r="H421" s="8">
        <v>4</v>
      </c>
      <c r="I421" s="10">
        <v>747</v>
      </c>
      <c r="J421" s="10">
        <f t="shared" si="6"/>
        <v>7470</v>
      </c>
      <c r="K421" s="8" t="s">
        <v>60</v>
      </c>
    </row>
    <row r="422" spans="1:11" x14ac:dyDescent="0.3">
      <c r="A422" s="8" t="s">
        <v>677</v>
      </c>
      <c r="B422" s="8" t="s">
        <v>211</v>
      </c>
      <c r="C422" s="8" t="s">
        <v>23</v>
      </c>
      <c r="D422" s="8" t="s">
        <v>35</v>
      </c>
      <c r="E422" s="8" t="s">
        <v>59</v>
      </c>
      <c r="F422" s="17">
        <v>46126</v>
      </c>
      <c r="G422" s="8">
        <v>9</v>
      </c>
      <c r="H422" s="8">
        <v>1</v>
      </c>
      <c r="I422" s="10">
        <v>330</v>
      </c>
      <c r="J422" s="10">
        <f t="shared" si="6"/>
        <v>2970</v>
      </c>
      <c r="K422" s="8" t="s">
        <v>60</v>
      </c>
    </row>
    <row r="423" spans="1:11" x14ac:dyDescent="0.3">
      <c r="A423" s="8" t="s">
        <v>678</v>
      </c>
      <c r="B423" s="8" t="s">
        <v>530</v>
      </c>
      <c r="C423" s="8" t="s">
        <v>25</v>
      </c>
      <c r="D423" s="8" t="s">
        <v>38</v>
      </c>
      <c r="E423" s="8" t="s">
        <v>63</v>
      </c>
      <c r="F423" s="17">
        <v>46152</v>
      </c>
      <c r="G423" s="8">
        <v>5</v>
      </c>
      <c r="H423" s="8">
        <v>1</v>
      </c>
      <c r="I423" s="10">
        <v>156</v>
      </c>
      <c r="J423" s="10">
        <f t="shared" si="6"/>
        <v>780</v>
      </c>
      <c r="K423" s="8" t="s">
        <v>60</v>
      </c>
    </row>
    <row r="424" spans="1:11" x14ac:dyDescent="0.3">
      <c r="A424" s="8" t="s">
        <v>679</v>
      </c>
      <c r="B424" s="8" t="s">
        <v>463</v>
      </c>
      <c r="C424" s="8" t="s">
        <v>23</v>
      </c>
      <c r="D424" s="8" t="s">
        <v>34</v>
      </c>
      <c r="E424" s="8" t="s">
        <v>69</v>
      </c>
      <c r="F424" s="17">
        <v>46040</v>
      </c>
      <c r="G424" s="8">
        <v>7</v>
      </c>
      <c r="H424" s="8">
        <v>4</v>
      </c>
      <c r="I424" s="10">
        <v>261</v>
      </c>
      <c r="J424" s="10">
        <f t="shared" si="6"/>
        <v>1827</v>
      </c>
      <c r="K424" s="8" t="s">
        <v>60</v>
      </c>
    </row>
    <row r="425" spans="1:11" x14ac:dyDescent="0.3">
      <c r="A425" s="8" t="s">
        <v>680</v>
      </c>
      <c r="B425" s="8" t="s">
        <v>160</v>
      </c>
      <c r="C425" s="8" t="s">
        <v>23</v>
      </c>
      <c r="D425" s="8" t="s">
        <v>36</v>
      </c>
      <c r="E425" s="8" t="s">
        <v>75</v>
      </c>
      <c r="F425" s="17">
        <v>46080</v>
      </c>
      <c r="G425" s="8">
        <v>6</v>
      </c>
      <c r="H425" s="8">
        <v>1</v>
      </c>
      <c r="I425" s="10">
        <v>302</v>
      </c>
      <c r="J425" s="10">
        <f t="shared" si="6"/>
        <v>1812</v>
      </c>
      <c r="K425" s="8" t="s">
        <v>70</v>
      </c>
    </row>
    <row r="426" spans="1:11" x14ac:dyDescent="0.3">
      <c r="A426" s="8" t="s">
        <v>681</v>
      </c>
      <c r="B426" s="8" t="s">
        <v>682</v>
      </c>
      <c r="C426" s="8" t="s">
        <v>24</v>
      </c>
      <c r="D426" s="8" t="s">
        <v>35</v>
      </c>
      <c r="E426" s="8" t="s">
        <v>75</v>
      </c>
      <c r="F426" s="17">
        <v>46088</v>
      </c>
      <c r="G426" s="8">
        <v>2</v>
      </c>
      <c r="H426" s="8">
        <v>1</v>
      </c>
      <c r="I426" s="10">
        <v>206</v>
      </c>
      <c r="J426" s="10">
        <f t="shared" si="6"/>
        <v>412</v>
      </c>
      <c r="K426" s="8" t="s">
        <v>70</v>
      </c>
    </row>
    <row r="427" spans="1:11" x14ac:dyDescent="0.3">
      <c r="A427" s="8" t="s">
        <v>683</v>
      </c>
      <c r="B427" s="8" t="s">
        <v>119</v>
      </c>
      <c r="C427" s="8" t="s">
        <v>23</v>
      </c>
      <c r="D427" s="8" t="s">
        <v>38</v>
      </c>
      <c r="E427" s="8" t="s">
        <v>75</v>
      </c>
      <c r="F427" s="17">
        <v>46229</v>
      </c>
      <c r="G427" s="8">
        <v>3</v>
      </c>
      <c r="H427" s="8">
        <v>4</v>
      </c>
      <c r="I427" s="10">
        <v>394</v>
      </c>
      <c r="J427" s="10">
        <f t="shared" si="6"/>
        <v>1182</v>
      </c>
      <c r="K427" s="8" t="s">
        <v>80</v>
      </c>
    </row>
    <row r="428" spans="1:11" x14ac:dyDescent="0.3">
      <c r="A428" s="8" t="s">
        <v>684</v>
      </c>
      <c r="B428" s="8" t="s">
        <v>201</v>
      </c>
      <c r="C428" s="8" t="s">
        <v>23</v>
      </c>
      <c r="D428" s="8" t="s">
        <v>34</v>
      </c>
      <c r="E428" s="8" t="s">
        <v>63</v>
      </c>
      <c r="F428" s="17">
        <v>46231</v>
      </c>
      <c r="G428" s="8">
        <v>7</v>
      </c>
      <c r="H428" s="8">
        <v>1</v>
      </c>
      <c r="I428" s="10">
        <v>371</v>
      </c>
      <c r="J428" s="10">
        <f t="shared" si="6"/>
        <v>2597</v>
      </c>
      <c r="K428" s="8" t="s">
        <v>80</v>
      </c>
    </row>
    <row r="429" spans="1:11" x14ac:dyDescent="0.3">
      <c r="A429" s="8" t="s">
        <v>685</v>
      </c>
      <c r="B429" s="8" t="s">
        <v>410</v>
      </c>
      <c r="C429" s="8" t="s">
        <v>23</v>
      </c>
      <c r="D429" s="8" t="s">
        <v>34</v>
      </c>
      <c r="E429" s="8" t="s">
        <v>63</v>
      </c>
      <c r="F429" s="17">
        <v>46251</v>
      </c>
      <c r="G429" s="8">
        <v>7</v>
      </c>
      <c r="H429" s="8">
        <v>2</v>
      </c>
      <c r="I429" s="10">
        <v>352</v>
      </c>
      <c r="J429" s="10">
        <f t="shared" si="6"/>
        <v>2464</v>
      </c>
      <c r="K429" s="8" t="s">
        <v>66</v>
      </c>
    </row>
    <row r="430" spans="1:11" x14ac:dyDescent="0.3">
      <c r="A430" s="8" t="s">
        <v>686</v>
      </c>
      <c r="B430" s="8" t="s">
        <v>440</v>
      </c>
      <c r="C430" s="8" t="s">
        <v>26</v>
      </c>
      <c r="D430" s="8" t="s">
        <v>39</v>
      </c>
      <c r="E430" s="8" t="s">
        <v>59</v>
      </c>
      <c r="F430" s="17">
        <v>46224</v>
      </c>
      <c r="G430" s="8">
        <v>9</v>
      </c>
      <c r="H430" s="8">
        <v>4</v>
      </c>
      <c r="I430" s="10">
        <v>707</v>
      </c>
      <c r="J430" s="10">
        <f t="shared" si="6"/>
        <v>6363</v>
      </c>
      <c r="K430" s="8" t="s">
        <v>70</v>
      </c>
    </row>
    <row r="431" spans="1:11" x14ac:dyDescent="0.3">
      <c r="A431" s="8" t="s">
        <v>687</v>
      </c>
      <c r="B431" s="8" t="s">
        <v>182</v>
      </c>
      <c r="C431" s="8" t="s">
        <v>23</v>
      </c>
      <c r="D431" s="8" t="s">
        <v>34</v>
      </c>
      <c r="E431" s="8" t="s">
        <v>63</v>
      </c>
      <c r="F431" s="17">
        <v>46145</v>
      </c>
      <c r="G431" s="8">
        <v>4</v>
      </c>
      <c r="H431" s="8">
        <v>4</v>
      </c>
      <c r="I431" s="10">
        <v>301</v>
      </c>
      <c r="J431" s="10">
        <f t="shared" si="6"/>
        <v>1204</v>
      </c>
      <c r="K431" s="8" t="s">
        <v>60</v>
      </c>
    </row>
    <row r="432" spans="1:11" x14ac:dyDescent="0.3">
      <c r="A432" s="8" t="s">
        <v>688</v>
      </c>
      <c r="B432" s="8" t="s">
        <v>689</v>
      </c>
      <c r="C432" s="8" t="s">
        <v>27</v>
      </c>
      <c r="D432" s="8" t="s">
        <v>35</v>
      </c>
      <c r="E432" s="8" t="s">
        <v>59</v>
      </c>
      <c r="F432" s="17">
        <v>46095</v>
      </c>
      <c r="G432" s="8">
        <v>3</v>
      </c>
      <c r="H432" s="8">
        <v>4</v>
      </c>
      <c r="I432" s="10">
        <v>404</v>
      </c>
      <c r="J432" s="10">
        <f t="shared" si="6"/>
        <v>1212</v>
      </c>
      <c r="K432" s="8" t="s">
        <v>60</v>
      </c>
    </row>
    <row r="433" spans="1:11" x14ac:dyDescent="0.3">
      <c r="A433" s="8" t="s">
        <v>690</v>
      </c>
      <c r="B433" s="8" t="s">
        <v>691</v>
      </c>
      <c r="C433" s="8" t="s">
        <v>26</v>
      </c>
      <c r="D433" s="8" t="s">
        <v>36</v>
      </c>
      <c r="E433" s="8" t="s">
        <v>75</v>
      </c>
      <c r="F433" s="17">
        <v>46162</v>
      </c>
      <c r="G433" s="8">
        <v>10</v>
      </c>
      <c r="H433" s="8">
        <v>1</v>
      </c>
      <c r="I433" s="10">
        <v>606</v>
      </c>
      <c r="J433" s="10">
        <f t="shared" si="6"/>
        <v>6060</v>
      </c>
      <c r="K433" s="8" t="s">
        <v>80</v>
      </c>
    </row>
    <row r="434" spans="1:11" x14ac:dyDescent="0.3">
      <c r="A434" s="8" t="s">
        <v>692</v>
      </c>
      <c r="B434" s="8" t="s">
        <v>173</v>
      </c>
      <c r="C434" s="8" t="s">
        <v>24</v>
      </c>
      <c r="D434" s="8" t="s">
        <v>36</v>
      </c>
      <c r="E434" s="8" t="s">
        <v>69</v>
      </c>
      <c r="F434" s="17">
        <v>46049</v>
      </c>
      <c r="G434" s="8">
        <v>3</v>
      </c>
      <c r="H434" s="8">
        <v>2</v>
      </c>
      <c r="I434" s="10">
        <v>261</v>
      </c>
      <c r="J434" s="10">
        <f t="shared" si="6"/>
        <v>783</v>
      </c>
      <c r="K434" s="8" t="s">
        <v>66</v>
      </c>
    </row>
    <row r="435" spans="1:11" x14ac:dyDescent="0.3">
      <c r="A435" s="8" t="s">
        <v>693</v>
      </c>
      <c r="B435" s="8" t="s">
        <v>354</v>
      </c>
      <c r="C435" s="8" t="s">
        <v>27</v>
      </c>
      <c r="D435" s="8" t="s">
        <v>38</v>
      </c>
      <c r="E435" s="8" t="s">
        <v>59</v>
      </c>
      <c r="F435" s="17">
        <v>46226</v>
      </c>
      <c r="G435" s="8">
        <v>8</v>
      </c>
      <c r="H435" s="8">
        <v>1</v>
      </c>
      <c r="I435" s="10">
        <v>457</v>
      </c>
      <c r="J435" s="10">
        <f t="shared" si="6"/>
        <v>3656</v>
      </c>
      <c r="K435" s="8" t="s">
        <v>60</v>
      </c>
    </row>
    <row r="436" spans="1:11" x14ac:dyDescent="0.3">
      <c r="A436" s="8" t="s">
        <v>694</v>
      </c>
      <c r="B436" s="8" t="s">
        <v>180</v>
      </c>
      <c r="C436" s="8" t="s">
        <v>25</v>
      </c>
      <c r="D436" s="8" t="s">
        <v>38</v>
      </c>
      <c r="E436" s="8" t="s">
        <v>63</v>
      </c>
      <c r="F436" s="17">
        <v>46038</v>
      </c>
      <c r="G436" s="8">
        <v>9</v>
      </c>
      <c r="H436" s="8">
        <v>3</v>
      </c>
      <c r="I436" s="10">
        <v>166</v>
      </c>
      <c r="J436" s="10">
        <f t="shared" si="6"/>
        <v>1494</v>
      </c>
      <c r="K436" s="8" t="s">
        <v>66</v>
      </c>
    </row>
    <row r="437" spans="1:11" x14ac:dyDescent="0.3">
      <c r="A437" s="8" t="s">
        <v>695</v>
      </c>
      <c r="B437" s="8" t="s">
        <v>540</v>
      </c>
      <c r="C437" s="8" t="s">
        <v>27</v>
      </c>
      <c r="D437" s="8" t="s">
        <v>34</v>
      </c>
      <c r="E437" s="8" t="s">
        <v>63</v>
      </c>
      <c r="F437" s="17">
        <v>46101</v>
      </c>
      <c r="G437" s="8">
        <v>6</v>
      </c>
      <c r="H437" s="8">
        <v>2</v>
      </c>
      <c r="I437" s="10">
        <v>542</v>
      </c>
      <c r="J437" s="10">
        <f t="shared" si="6"/>
        <v>3252</v>
      </c>
      <c r="K437" s="8" t="s">
        <v>70</v>
      </c>
    </row>
    <row r="438" spans="1:11" x14ac:dyDescent="0.3">
      <c r="A438" s="8" t="s">
        <v>696</v>
      </c>
      <c r="B438" s="8" t="s">
        <v>697</v>
      </c>
      <c r="C438" s="8" t="s">
        <v>25</v>
      </c>
      <c r="D438" s="8" t="s">
        <v>36</v>
      </c>
      <c r="E438" s="8" t="s">
        <v>75</v>
      </c>
      <c r="F438" s="17">
        <v>46152</v>
      </c>
      <c r="G438" s="8">
        <v>2</v>
      </c>
      <c r="H438" s="8">
        <v>2</v>
      </c>
      <c r="I438" s="10">
        <v>124</v>
      </c>
      <c r="J438" s="10">
        <f t="shared" si="6"/>
        <v>248</v>
      </c>
      <c r="K438" s="8" t="s">
        <v>80</v>
      </c>
    </row>
    <row r="439" spans="1:11" x14ac:dyDescent="0.3">
      <c r="A439" s="8" t="s">
        <v>698</v>
      </c>
      <c r="B439" s="8" t="s">
        <v>333</v>
      </c>
      <c r="C439" s="8" t="s">
        <v>26</v>
      </c>
      <c r="D439" s="8" t="s">
        <v>37</v>
      </c>
      <c r="E439" s="8" t="s">
        <v>69</v>
      </c>
      <c r="F439" s="17">
        <v>46146</v>
      </c>
      <c r="G439" s="8">
        <v>7</v>
      </c>
      <c r="H439" s="8">
        <v>4</v>
      </c>
      <c r="I439" s="10">
        <v>460</v>
      </c>
      <c r="J439" s="10">
        <f t="shared" si="6"/>
        <v>3220</v>
      </c>
      <c r="K439" s="8" t="s">
        <v>66</v>
      </c>
    </row>
    <row r="440" spans="1:11" x14ac:dyDescent="0.3">
      <c r="A440" s="8" t="s">
        <v>699</v>
      </c>
      <c r="B440" s="8" t="s">
        <v>495</v>
      </c>
      <c r="C440" s="8" t="s">
        <v>23</v>
      </c>
      <c r="D440" s="8" t="s">
        <v>37</v>
      </c>
      <c r="E440" s="8" t="s">
        <v>63</v>
      </c>
      <c r="F440" s="17">
        <v>46211</v>
      </c>
      <c r="G440" s="8">
        <v>1</v>
      </c>
      <c r="H440" s="8">
        <v>3</v>
      </c>
      <c r="I440" s="10">
        <v>355</v>
      </c>
      <c r="J440" s="10">
        <f t="shared" si="6"/>
        <v>355</v>
      </c>
      <c r="K440" s="8" t="s">
        <v>80</v>
      </c>
    </row>
    <row r="441" spans="1:11" x14ac:dyDescent="0.3">
      <c r="A441" s="8" t="s">
        <v>700</v>
      </c>
      <c r="B441" s="8" t="s">
        <v>701</v>
      </c>
      <c r="C441" s="8" t="s">
        <v>24</v>
      </c>
      <c r="D441" s="8" t="s">
        <v>37</v>
      </c>
      <c r="E441" s="8" t="s">
        <v>63</v>
      </c>
      <c r="F441" s="17">
        <v>46233</v>
      </c>
      <c r="G441" s="8">
        <v>2</v>
      </c>
      <c r="H441" s="8">
        <v>4</v>
      </c>
      <c r="I441" s="10">
        <v>277</v>
      </c>
      <c r="J441" s="10">
        <f t="shared" si="6"/>
        <v>554</v>
      </c>
      <c r="K441" s="8" t="s">
        <v>70</v>
      </c>
    </row>
    <row r="442" spans="1:11" x14ac:dyDescent="0.3">
      <c r="A442" s="8" t="s">
        <v>702</v>
      </c>
      <c r="B442" s="8" t="s">
        <v>160</v>
      </c>
      <c r="C442" s="8" t="s">
        <v>25</v>
      </c>
      <c r="D442" s="8" t="s">
        <v>39</v>
      </c>
      <c r="E442" s="8" t="s">
        <v>59</v>
      </c>
      <c r="F442" s="17">
        <v>46112</v>
      </c>
      <c r="G442" s="8">
        <v>1</v>
      </c>
      <c r="H442" s="8">
        <v>3</v>
      </c>
      <c r="I442" s="10">
        <v>156</v>
      </c>
      <c r="J442" s="10">
        <f t="shared" si="6"/>
        <v>156</v>
      </c>
      <c r="K442" s="8" t="s">
        <v>80</v>
      </c>
    </row>
    <row r="443" spans="1:11" x14ac:dyDescent="0.3">
      <c r="A443" s="8" t="s">
        <v>703</v>
      </c>
      <c r="B443" s="8" t="s">
        <v>412</v>
      </c>
      <c r="C443" s="8" t="s">
        <v>25</v>
      </c>
      <c r="D443" s="8" t="s">
        <v>34</v>
      </c>
      <c r="E443" s="8" t="s">
        <v>75</v>
      </c>
      <c r="F443" s="17">
        <v>46149</v>
      </c>
      <c r="G443" s="8">
        <v>9</v>
      </c>
      <c r="H443" s="8">
        <v>4</v>
      </c>
      <c r="I443" s="10">
        <v>174</v>
      </c>
      <c r="J443" s="10">
        <f t="shared" si="6"/>
        <v>1566</v>
      </c>
      <c r="K443" s="8" t="s">
        <v>70</v>
      </c>
    </row>
    <row r="444" spans="1:11" x14ac:dyDescent="0.3">
      <c r="A444" s="8" t="s">
        <v>704</v>
      </c>
      <c r="B444" s="8" t="s">
        <v>88</v>
      </c>
      <c r="C444" s="8" t="s">
        <v>23</v>
      </c>
      <c r="D444" s="8" t="s">
        <v>35</v>
      </c>
      <c r="E444" s="8" t="s">
        <v>59</v>
      </c>
      <c r="F444" s="17">
        <v>46219</v>
      </c>
      <c r="G444" s="8">
        <v>7</v>
      </c>
      <c r="H444" s="8">
        <v>1</v>
      </c>
      <c r="I444" s="10">
        <v>315</v>
      </c>
      <c r="J444" s="10">
        <f t="shared" si="6"/>
        <v>2205</v>
      </c>
      <c r="K444" s="8" t="s">
        <v>66</v>
      </c>
    </row>
    <row r="445" spans="1:11" x14ac:dyDescent="0.3">
      <c r="A445" s="8" t="s">
        <v>705</v>
      </c>
      <c r="B445" s="8" t="s">
        <v>154</v>
      </c>
      <c r="C445" s="8" t="s">
        <v>25</v>
      </c>
      <c r="D445" s="8" t="s">
        <v>35</v>
      </c>
      <c r="E445" s="8" t="s">
        <v>59</v>
      </c>
      <c r="F445" s="17">
        <v>46154</v>
      </c>
      <c r="G445" s="8">
        <v>1</v>
      </c>
      <c r="H445" s="8">
        <v>1</v>
      </c>
      <c r="I445" s="10">
        <v>128</v>
      </c>
      <c r="J445" s="10">
        <f t="shared" si="6"/>
        <v>128</v>
      </c>
      <c r="K445" s="8" t="s">
        <v>60</v>
      </c>
    </row>
    <row r="446" spans="1:11" x14ac:dyDescent="0.3">
      <c r="A446" s="8" t="s">
        <v>706</v>
      </c>
      <c r="B446" s="8" t="s">
        <v>561</v>
      </c>
      <c r="C446" s="8" t="s">
        <v>23</v>
      </c>
      <c r="D446" s="8" t="s">
        <v>34</v>
      </c>
      <c r="E446" s="8" t="s">
        <v>59</v>
      </c>
      <c r="F446" s="17">
        <v>46153</v>
      </c>
      <c r="G446" s="8">
        <v>5</v>
      </c>
      <c r="H446" s="8">
        <v>3</v>
      </c>
      <c r="I446" s="10">
        <v>347</v>
      </c>
      <c r="J446" s="10">
        <f t="shared" si="6"/>
        <v>1735</v>
      </c>
      <c r="K446" s="8" t="s">
        <v>80</v>
      </c>
    </row>
    <row r="447" spans="1:11" x14ac:dyDescent="0.3">
      <c r="A447" s="8" t="s">
        <v>707</v>
      </c>
      <c r="B447" s="8" t="s">
        <v>499</v>
      </c>
      <c r="C447" s="8" t="s">
        <v>27</v>
      </c>
      <c r="D447" s="8" t="s">
        <v>34</v>
      </c>
      <c r="E447" s="8" t="s">
        <v>75</v>
      </c>
      <c r="F447" s="17">
        <v>46219</v>
      </c>
      <c r="G447" s="8">
        <v>5</v>
      </c>
      <c r="H447" s="8">
        <v>4</v>
      </c>
      <c r="I447" s="10">
        <v>512</v>
      </c>
      <c r="J447" s="10">
        <f t="shared" si="6"/>
        <v>2560</v>
      </c>
      <c r="K447" s="8" t="s">
        <v>60</v>
      </c>
    </row>
    <row r="448" spans="1:11" x14ac:dyDescent="0.3">
      <c r="A448" s="8" t="s">
        <v>708</v>
      </c>
      <c r="B448" s="8" t="s">
        <v>162</v>
      </c>
      <c r="C448" s="8" t="s">
        <v>26</v>
      </c>
      <c r="D448" s="8" t="s">
        <v>38</v>
      </c>
      <c r="E448" s="8" t="s">
        <v>63</v>
      </c>
      <c r="F448" s="17">
        <v>46193</v>
      </c>
      <c r="G448" s="8">
        <v>1</v>
      </c>
      <c r="H448" s="8">
        <v>2</v>
      </c>
      <c r="I448" s="10">
        <v>498</v>
      </c>
      <c r="J448" s="10">
        <f t="shared" si="6"/>
        <v>498</v>
      </c>
      <c r="K448" s="8" t="s">
        <v>60</v>
      </c>
    </row>
    <row r="449" spans="1:11" x14ac:dyDescent="0.3">
      <c r="A449" s="8" t="s">
        <v>709</v>
      </c>
      <c r="B449" s="8" t="s">
        <v>142</v>
      </c>
      <c r="C449" s="8" t="s">
        <v>26</v>
      </c>
      <c r="D449" s="8" t="s">
        <v>34</v>
      </c>
      <c r="E449" s="8" t="s">
        <v>59</v>
      </c>
      <c r="F449" s="17">
        <v>46035</v>
      </c>
      <c r="G449" s="8">
        <v>6</v>
      </c>
      <c r="H449" s="8">
        <v>2</v>
      </c>
      <c r="I449" s="10">
        <v>659</v>
      </c>
      <c r="J449" s="10">
        <f t="shared" si="6"/>
        <v>3954</v>
      </c>
      <c r="K449" s="8" t="s">
        <v>66</v>
      </c>
    </row>
    <row r="450" spans="1:11" x14ac:dyDescent="0.3">
      <c r="A450" s="8" t="s">
        <v>710</v>
      </c>
      <c r="B450" s="8" t="s">
        <v>94</v>
      </c>
      <c r="C450" s="8" t="s">
        <v>23</v>
      </c>
      <c r="D450" s="8" t="s">
        <v>34</v>
      </c>
      <c r="E450" s="8" t="s">
        <v>59</v>
      </c>
      <c r="F450" s="17">
        <v>46036</v>
      </c>
      <c r="G450" s="8">
        <v>5</v>
      </c>
      <c r="H450" s="8">
        <v>3</v>
      </c>
      <c r="I450" s="10">
        <v>330</v>
      </c>
      <c r="J450" s="10">
        <f t="shared" ref="J450:J501" si="7">G450*I450</f>
        <v>1650</v>
      </c>
      <c r="K450" s="8" t="s">
        <v>80</v>
      </c>
    </row>
    <row r="451" spans="1:11" x14ac:dyDescent="0.3">
      <c r="A451" s="8" t="s">
        <v>711</v>
      </c>
      <c r="B451" s="8" t="s">
        <v>345</v>
      </c>
      <c r="C451" s="8" t="s">
        <v>24</v>
      </c>
      <c r="D451" s="8" t="s">
        <v>39</v>
      </c>
      <c r="E451" s="8" t="s">
        <v>63</v>
      </c>
      <c r="F451" s="17">
        <v>46064</v>
      </c>
      <c r="G451" s="8">
        <v>1</v>
      </c>
      <c r="H451" s="8">
        <v>4</v>
      </c>
      <c r="I451" s="10">
        <v>251</v>
      </c>
      <c r="J451" s="10">
        <f t="shared" si="7"/>
        <v>251</v>
      </c>
      <c r="K451" s="8" t="s">
        <v>66</v>
      </c>
    </row>
    <row r="452" spans="1:11" x14ac:dyDescent="0.3">
      <c r="A452" s="8" t="s">
        <v>712</v>
      </c>
      <c r="B452" s="8" t="s">
        <v>287</v>
      </c>
      <c r="C452" s="8" t="s">
        <v>27</v>
      </c>
      <c r="D452" s="8" t="s">
        <v>38</v>
      </c>
      <c r="E452" s="8" t="s">
        <v>63</v>
      </c>
      <c r="F452" s="17">
        <v>46133</v>
      </c>
      <c r="G452" s="8">
        <v>1</v>
      </c>
      <c r="H452" s="8">
        <v>2</v>
      </c>
      <c r="I452" s="10">
        <v>424</v>
      </c>
      <c r="J452" s="10">
        <f t="shared" si="7"/>
        <v>424</v>
      </c>
      <c r="K452" s="8" t="s">
        <v>60</v>
      </c>
    </row>
    <row r="453" spans="1:11" x14ac:dyDescent="0.3">
      <c r="A453" s="8" t="s">
        <v>713</v>
      </c>
      <c r="B453" s="8" t="s">
        <v>425</v>
      </c>
      <c r="C453" s="8" t="s">
        <v>23</v>
      </c>
      <c r="D453" s="8" t="s">
        <v>35</v>
      </c>
      <c r="E453" s="8" t="s">
        <v>75</v>
      </c>
      <c r="F453" s="17">
        <v>46164</v>
      </c>
      <c r="G453" s="8">
        <v>2</v>
      </c>
      <c r="H453" s="8">
        <v>4</v>
      </c>
      <c r="I453" s="10">
        <v>259</v>
      </c>
      <c r="J453" s="10">
        <f t="shared" si="7"/>
        <v>518</v>
      </c>
      <c r="K453" s="8" t="s">
        <v>66</v>
      </c>
    </row>
    <row r="454" spans="1:11" x14ac:dyDescent="0.3">
      <c r="A454" s="8" t="s">
        <v>714</v>
      </c>
      <c r="B454" s="8" t="s">
        <v>232</v>
      </c>
      <c r="C454" s="8" t="s">
        <v>25</v>
      </c>
      <c r="D454" s="8" t="s">
        <v>37</v>
      </c>
      <c r="E454" s="8" t="s">
        <v>59</v>
      </c>
      <c r="F454" s="17">
        <v>46146</v>
      </c>
      <c r="G454" s="8">
        <v>5</v>
      </c>
      <c r="H454" s="8">
        <v>2</v>
      </c>
      <c r="I454" s="10">
        <v>159</v>
      </c>
      <c r="J454" s="10">
        <f t="shared" si="7"/>
        <v>795</v>
      </c>
      <c r="K454" s="8" t="s">
        <v>80</v>
      </c>
    </row>
    <row r="455" spans="1:11" x14ac:dyDescent="0.3">
      <c r="A455" s="8" t="s">
        <v>715</v>
      </c>
      <c r="B455" s="8" t="s">
        <v>450</v>
      </c>
      <c r="C455" s="8" t="s">
        <v>27</v>
      </c>
      <c r="D455" s="8" t="s">
        <v>38</v>
      </c>
      <c r="E455" s="8" t="s">
        <v>59</v>
      </c>
      <c r="F455" s="17">
        <v>46175</v>
      </c>
      <c r="G455" s="8">
        <v>5</v>
      </c>
      <c r="H455" s="8">
        <v>3</v>
      </c>
      <c r="I455" s="10">
        <v>516</v>
      </c>
      <c r="J455" s="10">
        <f t="shared" si="7"/>
        <v>2580</v>
      </c>
      <c r="K455" s="8" t="s">
        <v>66</v>
      </c>
    </row>
    <row r="456" spans="1:11" x14ac:dyDescent="0.3">
      <c r="A456" s="8" t="s">
        <v>716</v>
      </c>
      <c r="B456" s="8" t="s">
        <v>593</v>
      </c>
      <c r="C456" s="8" t="s">
        <v>24</v>
      </c>
      <c r="D456" s="8" t="s">
        <v>35</v>
      </c>
      <c r="E456" s="8" t="s">
        <v>69</v>
      </c>
      <c r="F456" s="17">
        <v>46064</v>
      </c>
      <c r="G456" s="8">
        <v>4</v>
      </c>
      <c r="H456" s="8">
        <v>1</v>
      </c>
      <c r="I456" s="10">
        <v>265</v>
      </c>
      <c r="J456" s="10">
        <f t="shared" si="7"/>
        <v>1060</v>
      </c>
      <c r="K456" s="8" t="s">
        <v>60</v>
      </c>
    </row>
    <row r="457" spans="1:11" x14ac:dyDescent="0.3">
      <c r="A457" s="8" t="s">
        <v>717</v>
      </c>
      <c r="B457" s="8" t="s">
        <v>561</v>
      </c>
      <c r="C457" s="8" t="s">
        <v>25</v>
      </c>
      <c r="D457" s="8" t="s">
        <v>36</v>
      </c>
      <c r="E457" s="8" t="s">
        <v>75</v>
      </c>
      <c r="F457" s="17">
        <v>46251</v>
      </c>
      <c r="G457" s="8">
        <v>8</v>
      </c>
      <c r="H457" s="8">
        <v>2</v>
      </c>
      <c r="I457" s="10">
        <v>117</v>
      </c>
      <c r="J457" s="10">
        <f t="shared" si="7"/>
        <v>936</v>
      </c>
      <c r="K457" s="8" t="s">
        <v>66</v>
      </c>
    </row>
    <row r="458" spans="1:11" x14ac:dyDescent="0.3">
      <c r="A458" s="8" t="s">
        <v>718</v>
      </c>
      <c r="B458" s="8" t="s">
        <v>719</v>
      </c>
      <c r="C458" s="8" t="s">
        <v>24</v>
      </c>
      <c r="D458" s="8" t="s">
        <v>37</v>
      </c>
      <c r="E458" s="8" t="s">
        <v>63</v>
      </c>
      <c r="F458" s="17">
        <v>46251</v>
      </c>
      <c r="G458" s="8">
        <v>2</v>
      </c>
      <c r="H458" s="8">
        <v>2</v>
      </c>
      <c r="I458" s="10">
        <v>253</v>
      </c>
      <c r="J458" s="10">
        <f t="shared" si="7"/>
        <v>506</v>
      </c>
      <c r="K458" s="8" t="s">
        <v>80</v>
      </c>
    </row>
    <row r="459" spans="1:11" x14ac:dyDescent="0.3">
      <c r="A459" s="8" t="s">
        <v>720</v>
      </c>
      <c r="B459" s="8" t="s">
        <v>68</v>
      </c>
      <c r="C459" s="8" t="s">
        <v>25</v>
      </c>
      <c r="D459" s="8" t="s">
        <v>39</v>
      </c>
      <c r="E459" s="8" t="s">
        <v>75</v>
      </c>
      <c r="F459" s="17">
        <v>46027</v>
      </c>
      <c r="G459" s="8">
        <v>6</v>
      </c>
      <c r="H459" s="8">
        <v>1</v>
      </c>
      <c r="I459" s="10">
        <v>112</v>
      </c>
      <c r="J459" s="10">
        <f t="shared" si="7"/>
        <v>672</v>
      </c>
      <c r="K459" s="8" t="s">
        <v>80</v>
      </c>
    </row>
    <row r="460" spans="1:11" x14ac:dyDescent="0.3">
      <c r="A460" s="8" t="s">
        <v>721</v>
      </c>
      <c r="B460" s="8" t="s">
        <v>211</v>
      </c>
      <c r="C460" s="8" t="s">
        <v>24</v>
      </c>
      <c r="D460" s="8" t="s">
        <v>35</v>
      </c>
      <c r="E460" s="8" t="s">
        <v>63</v>
      </c>
      <c r="F460" s="17">
        <v>46236</v>
      </c>
      <c r="G460" s="8">
        <v>6</v>
      </c>
      <c r="H460" s="8">
        <v>2</v>
      </c>
      <c r="I460" s="10">
        <v>219</v>
      </c>
      <c r="J460" s="10">
        <f t="shared" si="7"/>
        <v>1314</v>
      </c>
      <c r="K460" s="8" t="s">
        <v>70</v>
      </c>
    </row>
    <row r="461" spans="1:11" x14ac:dyDescent="0.3">
      <c r="A461" s="8" t="s">
        <v>722</v>
      </c>
      <c r="B461" s="8" t="s">
        <v>164</v>
      </c>
      <c r="C461" s="8" t="s">
        <v>25</v>
      </c>
      <c r="D461" s="8" t="s">
        <v>39</v>
      </c>
      <c r="E461" s="8" t="s">
        <v>75</v>
      </c>
      <c r="F461" s="17">
        <v>46118</v>
      </c>
      <c r="G461" s="8">
        <v>1</v>
      </c>
      <c r="H461" s="8">
        <v>4</v>
      </c>
      <c r="I461" s="10">
        <v>123</v>
      </c>
      <c r="J461" s="10">
        <f t="shared" si="7"/>
        <v>123</v>
      </c>
      <c r="K461" s="8" t="s">
        <v>66</v>
      </c>
    </row>
    <row r="462" spans="1:11" x14ac:dyDescent="0.3">
      <c r="A462" s="8" t="s">
        <v>723</v>
      </c>
      <c r="B462" s="8" t="s">
        <v>620</v>
      </c>
      <c r="C462" s="8" t="s">
        <v>26</v>
      </c>
      <c r="D462" s="8" t="s">
        <v>34</v>
      </c>
      <c r="E462" s="8" t="s">
        <v>59</v>
      </c>
      <c r="F462" s="17">
        <v>46041</v>
      </c>
      <c r="G462" s="8">
        <v>4</v>
      </c>
      <c r="H462" s="8">
        <v>4</v>
      </c>
      <c r="I462" s="10">
        <v>508</v>
      </c>
      <c r="J462" s="10">
        <f t="shared" si="7"/>
        <v>2032</v>
      </c>
      <c r="K462" s="8" t="s">
        <v>80</v>
      </c>
    </row>
    <row r="463" spans="1:11" x14ac:dyDescent="0.3">
      <c r="A463" s="8" t="s">
        <v>724</v>
      </c>
      <c r="B463" s="8" t="s">
        <v>569</v>
      </c>
      <c r="C463" s="8" t="s">
        <v>24</v>
      </c>
      <c r="D463" s="8" t="s">
        <v>38</v>
      </c>
      <c r="E463" s="8" t="s">
        <v>63</v>
      </c>
      <c r="F463" s="17">
        <v>46058</v>
      </c>
      <c r="G463" s="8">
        <v>9</v>
      </c>
      <c r="H463" s="8">
        <v>3</v>
      </c>
      <c r="I463" s="10">
        <v>271</v>
      </c>
      <c r="J463" s="10">
        <f t="shared" si="7"/>
        <v>2439</v>
      </c>
      <c r="K463" s="8" t="s">
        <v>60</v>
      </c>
    </row>
    <row r="464" spans="1:11" x14ac:dyDescent="0.3">
      <c r="A464" s="8" t="s">
        <v>725</v>
      </c>
      <c r="B464" s="8" t="s">
        <v>305</v>
      </c>
      <c r="C464" s="8" t="s">
        <v>26</v>
      </c>
      <c r="D464" s="8" t="s">
        <v>38</v>
      </c>
      <c r="E464" s="8" t="s">
        <v>69</v>
      </c>
      <c r="F464" s="17">
        <v>46206</v>
      </c>
      <c r="G464" s="8">
        <v>4</v>
      </c>
      <c r="H464" s="8">
        <v>3</v>
      </c>
      <c r="I464" s="10">
        <v>647</v>
      </c>
      <c r="J464" s="10">
        <f t="shared" si="7"/>
        <v>2588</v>
      </c>
      <c r="K464" s="8" t="s">
        <v>80</v>
      </c>
    </row>
    <row r="465" spans="1:11" x14ac:dyDescent="0.3">
      <c r="A465" s="8" t="s">
        <v>726</v>
      </c>
      <c r="B465" s="8" t="s">
        <v>190</v>
      </c>
      <c r="C465" s="8" t="s">
        <v>26</v>
      </c>
      <c r="D465" s="8" t="s">
        <v>34</v>
      </c>
      <c r="E465" s="8" t="s">
        <v>75</v>
      </c>
      <c r="F465" s="17">
        <v>46169</v>
      </c>
      <c r="G465" s="8">
        <v>5</v>
      </c>
      <c r="H465" s="8">
        <v>4</v>
      </c>
      <c r="I465" s="10">
        <v>564</v>
      </c>
      <c r="J465" s="10">
        <f t="shared" si="7"/>
        <v>2820</v>
      </c>
      <c r="K465" s="8" t="s">
        <v>60</v>
      </c>
    </row>
    <row r="466" spans="1:11" x14ac:dyDescent="0.3">
      <c r="A466" s="8" t="s">
        <v>727</v>
      </c>
      <c r="B466" s="8" t="s">
        <v>272</v>
      </c>
      <c r="C466" s="8" t="s">
        <v>26</v>
      </c>
      <c r="D466" s="8" t="s">
        <v>37</v>
      </c>
      <c r="E466" s="8" t="s">
        <v>63</v>
      </c>
      <c r="F466" s="17">
        <v>46175</v>
      </c>
      <c r="G466" s="8">
        <v>4</v>
      </c>
      <c r="H466" s="8">
        <v>3</v>
      </c>
      <c r="I466" s="10">
        <v>653</v>
      </c>
      <c r="J466" s="10">
        <f t="shared" si="7"/>
        <v>2612</v>
      </c>
      <c r="K466" s="8" t="s">
        <v>60</v>
      </c>
    </row>
    <row r="467" spans="1:11" x14ac:dyDescent="0.3">
      <c r="A467" s="8" t="s">
        <v>728</v>
      </c>
      <c r="B467" s="8" t="s">
        <v>243</v>
      </c>
      <c r="C467" s="8" t="s">
        <v>24</v>
      </c>
      <c r="D467" s="8" t="s">
        <v>39</v>
      </c>
      <c r="E467" s="8" t="s">
        <v>69</v>
      </c>
      <c r="F467" s="17">
        <v>46032</v>
      </c>
      <c r="G467" s="8">
        <v>5</v>
      </c>
      <c r="H467" s="8">
        <v>3</v>
      </c>
      <c r="I467" s="10">
        <v>242</v>
      </c>
      <c r="J467" s="10">
        <f t="shared" si="7"/>
        <v>1210</v>
      </c>
      <c r="K467" s="8" t="s">
        <v>80</v>
      </c>
    </row>
    <row r="468" spans="1:11" x14ac:dyDescent="0.3">
      <c r="A468" s="8" t="s">
        <v>729</v>
      </c>
      <c r="B468" s="8" t="s">
        <v>440</v>
      </c>
      <c r="C468" s="8" t="s">
        <v>24</v>
      </c>
      <c r="D468" s="8" t="s">
        <v>35</v>
      </c>
      <c r="E468" s="8" t="s">
        <v>63</v>
      </c>
      <c r="F468" s="17">
        <v>46106</v>
      </c>
      <c r="G468" s="8">
        <v>5</v>
      </c>
      <c r="H468" s="8">
        <v>3</v>
      </c>
      <c r="I468" s="10">
        <v>267</v>
      </c>
      <c r="J468" s="10">
        <f t="shared" si="7"/>
        <v>1335</v>
      </c>
      <c r="K468" s="8" t="s">
        <v>60</v>
      </c>
    </row>
    <row r="469" spans="1:11" x14ac:dyDescent="0.3">
      <c r="A469" s="8" t="s">
        <v>730</v>
      </c>
      <c r="B469" s="8" t="s">
        <v>343</v>
      </c>
      <c r="C469" s="8" t="s">
        <v>27</v>
      </c>
      <c r="D469" s="8" t="s">
        <v>36</v>
      </c>
      <c r="E469" s="8" t="s">
        <v>75</v>
      </c>
      <c r="F469" s="17">
        <v>46190</v>
      </c>
      <c r="G469" s="8">
        <v>10</v>
      </c>
      <c r="H469" s="8">
        <v>2</v>
      </c>
      <c r="I469" s="10">
        <v>389</v>
      </c>
      <c r="J469" s="10">
        <f t="shared" si="7"/>
        <v>3890</v>
      </c>
      <c r="K469" s="8" t="s">
        <v>60</v>
      </c>
    </row>
    <row r="470" spans="1:11" x14ac:dyDescent="0.3">
      <c r="A470" s="8" t="s">
        <v>731</v>
      </c>
      <c r="B470" s="8" t="s">
        <v>495</v>
      </c>
      <c r="C470" s="8" t="s">
        <v>27</v>
      </c>
      <c r="D470" s="8" t="s">
        <v>38</v>
      </c>
      <c r="E470" s="8" t="s">
        <v>75</v>
      </c>
      <c r="F470" s="17">
        <v>46050</v>
      </c>
      <c r="G470" s="8">
        <v>10</v>
      </c>
      <c r="H470" s="8">
        <v>1</v>
      </c>
      <c r="I470" s="10">
        <v>387</v>
      </c>
      <c r="J470" s="10">
        <f t="shared" si="7"/>
        <v>3870</v>
      </c>
      <c r="K470" s="8" t="s">
        <v>66</v>
      </c>
    </row>
    <row r="471" spans="1:11" x14ac:dyDescent="0.3">
      <c r="A471" s="8" t="s">
        <v>732</v>
      </c>
      <c r="B471" s="8" t="s">
        <v>538</v>
      </c>
      <c r="C471" s="8" t="s">
        <v>26</v>
      </c>
      <c r="D471" s="8" t="s">
        <v>38</v>
      </c>
      <c r="E471" s="8" t="s">
        <v>63</v>
      </c>
      <c r="F471" s="17">
        <v>46143</v>
      </c>
      <c r="G471" s="8">
        <v>2</v>
      </c>
      <c r="H471" s="8">
        <v>2</v>
      </c>
      <c r="I471" s="10">
        <v>583</v>
      </c>
      <c r="J471" s="10">
        <f t="shared" si="7"/>
        <v>1166</v>
      </c>
      <c r="K471" s="8" t="s">
        <v>66</v>
      </c>
    </row>
    <row r="472" spans="1:11" x14ac:dyDescent="0.3">
      <c r="A472" s="8" t="s">
        <v>733</v>
      </c>
      <c r="B472" s="8" t="s">
        <v>100</v>
      </c>
      <c r="C472" s="8" t="s">
        <v>25</v>
      </c>
      <c r="D472" s="8" t="s">
        <v>38</v>
      </c>
      <c r="E472" s="8" t="s">
        <v>69</v>
      </c>
      <c r="F472" s="17">
        <v>46251</v>
      </c>
      <c r="G472" s="8">
        <v>4</v>
      </c>
      <c r="H472" s="8">
        <v>4</v>
      </c>
      <c r="I472" s="10">
        <v>155</v>
      </c>
      <c r="J472" s="10">
        <f t="shared" si="7"/>
        <v>620</v>
      </c>
      <c r="K472" s="8" t="s">
        <v>60</v>
      </c>
    </row>
    <row r="473" spans="1:11" x14ac:dyDescent="0.3">
      <c r="A473" s="8" t="s">
        <v>734</v>
      </c>
      <c r="B473" s="8" t="s">
        <v>735</v>
      </c>
      <c r="C473" s="8" t="s">
        <v>27</v>
      </c>
      <c r="D473" s="8" t="s">
        <v>35</v>
      </c>
      <c r="E473" s="8" t="s">
        <v>69</v>
      </c>
      <c r="F473" s="17">
        <v>46060</v>
      </c>
      <c r="G473" s="8">
        <v>1</v>
      </c>
      <c r="H473" s="8">
        <v>4</v>
      </c>
      <c r="I473" s="10">
        <v>362</v>
      </c>
      <c r="J473" s="10">
        <f t="shared" si="7"/>
        <v>362</v>
      </c>
      <c r="K473" s="8" t="s">
        <v>60</v>
      </c>
    </row>
    <row r="474" spans="1:11" x14ac:dyDescent="0.3">
      <c r="A474" s="8" t="s">
        <v>736</v>
      </c>
      <c r="B474" s="8" t="s">
        <v>737</v>
      </c>
      <c r="C474" s="8" t="s">
        <v>27</v>
      </c>
      <c r="D474" s="8" t="s">
        <v>39</v>
      </c>
      <c r="E474" s="8" t="s">
        <v>75</v>
      </c>
      <c r="F474" s="17">
        <v>46225</v>
      </c>
      <c r="G474" s="8">
        <v>6</v>
      </c>
      <c r="H474" s="8">
        <v>1</v>
      </c>
      <c r="I474" s="10">
        <v>493</v>
      </c>
      <c r="J474" s="10">
        <f t="shared" si="7"/>
        <v>2958</v>
      </c>
      <c r="K474" s="8" t="s">
        <v>80</v>
      </c>
    </row>
    <row r="475" spans="1:11" x14ac:dyDescent="0.3">
      <c r="A475" s="8" t="s">
        <v>738</v>
      </c>
      <c r="B475" s="8" t="s">
        <v>279</v>
      </c>
      <c r="C475" s="8" t="s">
        <v>25</v>
      </c>
      <c r="D475" s="8" t="s">
        <v>38</v>
      </c>
      <c r="E475" s="8" t="s">
        <v>75</v>
      </c>
      <c r="F475" s="17">
        <v>46050</v>
      </c>
      <c r="G475" s="8">
        <v>8</v>
      </c>
      <c r="H475" s="8">
        <v>2</v>
      </c>
      <c r="I475" s="10">
        <v>107</v>
      </c>
      <c r="J475" s="10">
        <f t="shared" si="7"/>
        <v>856</v>
      </c>
      <c r="K475" s="8" t="s">
        <v>80</v>
      </c>
    </row>
    <row r="476" spans="1:11" x14ac:dyDescent="0.3">
      <c r="A476" s="8" t="s">
        <v>739</v>
      </c>
      <c r="B476" s="8" t="s">
        <v>434</v>
      </c>
      <c r="C476" s="8" t="s">
        <v>25</v>
      </c>
      <c r="D476" s="8" t="s">
        <v>39</v>
      </c>
      <c r="E476" s="8" t="s">
        <v>69</v>
      </c>
      <c r="F476" s="17">
        <v>46224</v>
      </c>
      <c r="G476" s="8">
        <v>3</v>
      </c>
      <c r="H476" s="8">
        <v>3</v>
      </c>
      <c r="I476" s="10">
        <v>139</v>
      </c>
      <c r="J476" s="10">
        <f t="shared" si="7"/>
        <v>417</v>
      </c>
      <c r="K476" s="8" t="s">
        <v>60</v>
      </c>
    </row>
    <row r="477" spans="1:11" x14ac:dyDescent="0.3">
      <c r="A477" s="8" t="s">
        <v>740</v>
      </c>
      <c r="B477" s="8" t="s">
        <v>400</v>
      </c>
      <c r="C477" s="8" t="s">
        <v>25</v>
      </c>
      <c r="D477" s="8" t="s">
        <v>36</v>
      </c>
      <c r="E477" s="8" t="s">
        <v>59</v>
      </c>
      <c r="F477" s="17">
        <v>46190</v>
      </c>
      <c r="G477" s="8">
        <v>10</v>
      </c>
      <c r="H477" s="8">
        <v>4</v>
      </c>
      <c r="I477" s="10">
        <v>159</v>
      </c>
      <c r="J477" s="10">
        <f t="shared" si="7"/>
        <v>1590</v>
      </c>
      <c r="K477" s="8" t="s">
        <v>80</v>
      </c>
    </row>
    <row r="478" spans="1:11" x14ac:dyDescent="0.3">
      <c r="A478" s="8" t="s">
        <v>741</v>
      </c>
      <c r="B478" s="8" t="s">
        <v>305</v>
      </c>
      <c r="C478" s="8" t="s">
        <v>26</v>
      </c>
      <c r="D478" s="8" t="s">
        <v>36</v>
      </c>
      <c r="E478" s="8" t="s">
        <v>59</v>
      </c>
      <c r="F478" s="17">
        <v>46184</v>
      </c>
      <c r="G478" s="8">
        <v>5</v>
      </c>
      <c r="H478" s="8">
        <v>4</v>
      </c>
      <c r="I478" s="10">
        <v>590</v>
      </c>
      <c r="J478" s="10">
        <f t="shared" si="7"/>
        <v>2950</v>
      </c>
      <c r="K478" s="8" t="s">
        <v>80</v>
      </c>
    </row>
    <row r="479" spans="1:11" x14ac:dyDescent="0.3">
      <c r="A479" s="8" t="s">
        <v>742</v>
      </c>
      <c r="B479" s="8" t="s">
        <v>405</v>
      </c>
      <c r="C479" s="8" t="s">
        <v>24</v>
      </c>
      <c r="D479" s="8" t="s">
        <v>39</v>
      </c>
      <c r="E479" s="8" t="s">
        <v>69</v>
      </c>
      <c r="F479" s="17">
        <v>46146</v>
      </c>
      <c r="G479" s="8">
        <v>8</v>
      </c>
      <c r="H479" s="8">
        <v>3</v>
      </c>
      <c r="I479" s="10">
        <v>244</v>
      </c>
      <c r="J479" s="10">
        <f t="shared" si="7"/>
        <v>1952</v>
      </c>
      <c r="K479" s="8" t="s">
        <v>66</v>
      </c>
    </row>
    <row r="480" spans="1:11" x14ac:dyDescent="0.3">
      <c r="A480" s="8" t="s">
        <v>743</v>
      </c>
      <c r="B480" s="8" t="s">
        <v>744</v>
      </c>
      <c r="C480" s="8" t="s">
        <v>24</v>
      </c>
      <c r="D480" s="8" t="s">
        <v>39</v>
      </c>
      <c r="E480" s="8" t="s">
        <v>59</v>
      </c>
      <c r="F480" s="17">
        <v>46203</v>
      </c>
      <c r="G480" s="8">
        <v>9</v>
      </c>
      <c r="H480" s="8">
        <v>1</v>
      </c>
      <c r="I480" s="10">
        <v>233</v>
      </c>
      <c r="J480" s="10">
        <f t="shared" si="7"/>
        <v>2097</v>
      </c>
      <c r="K480" s="8" t="s">
        <v>80</v>
      </c>
    </row>
    <row r="481" spans="1:11" x14ac:dyDescent="0.3">
      <c r="A481" s="8" t="s">
        <v>745</v>
      </c>
      <c r="B481" s="8" t="s">
        <v>746</v>
      </c>
      <c r="C481" s="8" t="s">
        <v>27</v>
      </c>
      <c r="D481" s="8" t="s">
        <v>37</v>
      </c>
      <c r="E481" s="8" t="s">
        <v>59</v>
      </c>
      <c r="F481" s="17">
        <v>46039</v>
      </c>
      <c r="G481" s="8">
        <v>10</v>
      </c>
      <c r="H481" s="8">
        <v>1</v>
      </c>
      <c r="I481" s="10">
        <v>474</v>
      </c>
      <c r="J481" s="10">
        <f t="shared" si="7"/>
        <v>4740</v>
      </c>
      <c r="K481" s="8" t="s">
        <v>66</v>
      </c>
    </row>
    <row r="482" spans="1:11" x14ac:dyDescent="0.3">
      <c r="A482" s="8" t="s">
        <v>747</v>
      </c>
      <c r="B482" s="8" t="s">
        <v>281</v>
      </c>
      <c r="C482" s="8" t="s">
        <v>26</v>
      </c>
      <c r="D482" s="8" t="s">
        <v>38</v>
      </c>
      <c r="E482" s="8" t="s">
        <v>59</v>
      </c>
      <c r="F482" s="17">
        <v>46066</v>
      </c>
      <c r="G482" s="8">
        <v>2</v>
      </c>
      <c r="H482" s="8">
        <v>4</v>
      </c>
      <c r="I482" s="10">
        <v>635</v>
      </c>
      <c r="J482" s="10">
        <f t="shared" si="7"/>
        <v>1270</v>
      </c>
      <c r="K482" s="8" t="s">
        <v>70</v>
      </c>
    </row>
    <row r="483" spans="1:11" x14ac:dyDescent="0.3">
      <c r="A483" s="8" t="s">
        <v>748</v>
      </c>
      <c r="B483" s="8" t="s">
        <v>86</v>
      </c>
      <c r="C483" s="8" t="s">
        <v>25</v>
      </c>
      <c r="D483" s="8" t="s">
        <v>34</v>
      </c>
      <c r="E483" s="8" t="s">
        <v>69</v>
      </c>
      <c r="F483" s="17">
        <v>46171</v>
      </c>
      <c r="G483" s="8">
        <v>8</v>
      </c>
      <c r="H483" s="8">
        <v>4</v>
      </c>
      <c r="I483" s="10">
        <v>161</v>
      </c>
      <c r="J483" s="10">
        <f t="shared" si="7"/>
        <v>1288</v>
      </c>
      <c r="K483" s="8" t="s">
        <v>60</v>
      </c>
    </row>
    <row r="484" spans="1:11" x14ac:dyDescent="0.3">
      <c r="A484" s="8" t="s">
        <v>749</v>
      </c>
      <c r="B484" s="8" t="s">
        <v>403</v>
      </c>
      <c r="C484" s="8" t="s">
        <v>26</v>
      </c>
      <c r="D484" s="8" t="s">
        <v>38</v>
      </c>
      <c r="E484" s="8" t="s">
        <v>69</v>
      </c>
      <c r="F484" s="17">
        <v>46049</v>
      </c>
      <c r="G484" s="8">
        <v>1</v>
      </c>
      <c r="H484" s="8">
        <v>4</v>
      </c>
      <c r="I484" s="10">
        <v>473</v>
      </c>
      <c r="J484" s="10">
        <f t="shared" si="7"/>
        <v>473</v>
      </c>
      <c r="K484" s="8" t="s">
        <v>70</v>
      </c>
    </row>
    <row r="485" spans="1:11" x14ac:dyDescent="0.3">
      <c r="A485" s="8" t="s">
        <v>750</v>
      </c>
      <c r="B485" s="8" t="s">
        <v>366</v>
      </c>
      <c r="C485" s="8" t="s">
        <v>23</v>
      </c>
      <c r="D485" s="8" t="s">
        <v>34</v>
      </c>
      <c r="E485" s="8" t="s">
        <v>63</v>
      </c>
      <c r="F485" s="17">
        <v>46073</v>
      </c>
      <c r="G485" s="8">
        <v>10</v>
      </c>
      <c r="H485" s="8">
        <v>4</v>
      </c>
      <c r="I485" s="10">
        <v>345</v>
      </c>
      <c r="J485" s="10">
        <f t="shared" si="7"/>
        <v>3450</v>
      </c>
      <c r="K485" s="8" t="s">
        <v>70</v>
      </c>
    </row>
    <row r="486" spans="1:11" x14ac:dyDescent="0.3">
      <c r="A486" s="8" t="s">
        <v>751</v>
      </c>
      <c r="B486" s="8" t="s">
        <v>675</v>
      </c>
      <c r="C486" s="8" t="s">
        <v>23</v>
      </c>
      <c r="D486" s="8" t="s">
        <v>35</v>
      </c>
      <c r="E486" s="8" t="s">
        <v>69</v>
      </c>
      <c r="F486" s="17">
        <v>46124</v>
      </c>
      <c r="G486" s="8">
        <v>9</v>
      </c>
      <c r="H486" s="8">
        <v>2</v>
      </c>
      <c r="I486" s="10">
        <v>390</v>
      </c>
      <c r="J486" s="10">
        <f t="shared" si="7"/>
        <v>3510</v>
      </c>
      <c r="K486" s="8" t="s">
        <v>70</v>
      </c>
    </row>
    <row r="487" spans="1:11" x14ac:dyDescent="0.3">
      <c r="A487" s="8" t="s">
        <v>752</v>
      </c>
      <c r="B487" s="8" t="s">
        <v>549</v>
      </c>
      <c r="C487" s="8" t="s">
        <v>25</v>
      </c>
      <c r="D487" s="8" t="s">
        <v>36</v>
      </c>
      <c r="E487" s="8" t="s">
        <v>69</v>
      </c>
      <c r="F487" s="17">
        <v>46153</v>
      </c>
      <c r="G487" s="8">
        <v>8</v>
      </c>
      <c r="H487" s="8">
        <v>1</v>
      </c>
      <c r="I487" s="10">
        <v>117</v>
      </c>
      <c r="J487" s="10">
        <f t="shared" si="7"/>
        <v>936</v>
      </c>
      <c r="K487" s="8" t="s">
        <v>60</v>
      </c>
    </row>
    <row r="488" spans="1:11" x14ac:dyDescent="0.3">
      <c r="A488" s="8" t="s">
        <v>753</v>
      </c>
      <c r="B488" s="8" t="s">
        <v>754</v>
      </c>
      <c r="C488" s="8" t="s">
        <v>26</v>
      </c>
      <c r="D488" s="8" t="s">
        <v>37</v>
      </c>
      <c r="E488" s="8" t="s">
        <v>59</v>
      </c>
      <c r="F488" s="17">
        <v>46135</v>
      </c>
      <c r="G488" s="8">
        <v>3</v>
      </c>
      <c r="H488" s="8">
        <v>1</v>
      </c>
      <c r="I488" s="10">
        <v>728</v>
      </c>
      <c r="J488" s="10">
        <f t="shared" si="7"/>
        <v>2184</v>
      </c>
      <c r="K488" s="8" t="s">
        <v>80</v>
      </c>
    </row>
    <row r="489" spans="1:11" x14ac:dyDescent="0.3">
      <c r="A489" s="8" t="s">
        <v>755</v>
      </c>
      <c r="B489" s="8" t="s">
        <v>532</v>
      </c>
      <c r="C489" s="8" t="s">
        <v>23</v>
      </c>
      <c r="D489" s="8" t="s">
        <v>37</v>
      </c>
      <c r="E489" s="8" t="s">
        <v>59</v>
      </c>
      <c r="F489" s="17">
        <v>46199</v>
      </c>
      <c r="G489" s="8">
        <v>9</v>
      </c>
      <c r="H489" s="8">
        <v>1</v>
      </c>
      <c r="I489" s="10">
        <v>340</v>
      </c>
      <c r="J489" s="10">
        <f t="shared" si="7"/>
        <v>3060</v>
      </c>
      <c r="K489" s="8" t="s">
        <v>66</v>
      </c>
    </row>
    <row r="490" spans="1:11" x14ac:dyDescent="0.3">
      <c r="A490" s="8" t="s">
        <v>756</v>
      </c>
      <c r="B490" s="8" t="s">
        <v>536</v>
      </c>
      <c r="C490" s="8" t="s">
        <v>24</v>
      </c>
      <c r="D490" s="8" t="s">
        <v>36</v>
      </c>
      <c r="E490" s="8" t="s">
        <v>59</v>
      </c>
      <c r="F490" s="17">
        <v>46204</v>
      </c>
      <c r="G490" s="8">
        <v>3</v>
      </c>
      <c r="H490" s="8">
        <v>3</v>
      </c>
      <c r="I490" s="10">
        <v>190</v>
      </c>
      <c r="J490" s="10">
        <f t="shared" si="7"/>
        <v>570</v>
      </c>
      <c r="K490" s="8" t="s">
        <v>70</v>
      </c>
    </row>
    <row r="491" spans="1:11" x14ac:dyDescent="0.3">
      <c r="A491" s="8" t="s">
        <v>757</v>
      </c>
      <c r="B491" s="8" t="s">
        <v>758</v>
      </c>
      <c r="C491" s="8" t="s">
        <v>26</v>
      </c>
      <c r="D491" s="8" t="s">
        <v>35</v>
      </c>
      <c r="E491" s="8" t="s">
        <v>69</v>
      </c>
      <c r="F491" s="17">
        <v>46141</v>
      </c>
      <c r="G491" s="8">
        <v>7</v>
      </c>
      <c r="H491" s="8">
        <v>4</v>
      </c>
      <c r="I491" s="10">
        <v>494</v>
      </c>
      <c r="J491" s="10">
        <f t="shared" si="7"/>
        <v>3458</v>
      </c>
      <c r="K491" s="8" t="s">
        <v>70</v>
      </c>
    </row>
    <row r="492" spans="1:11" x14ac:dyDescent="0.3">
      <c r="A492" s="8" t="s">
        <v>759</v>
      </c>
      <c r="B492" s="8" t="s">
        <v>156</v>
      </c>
      <c r="C492" s="8" t="s">
        <v>23</v>
      </c>
      <c r="D492" s="8" t="s">
        <v>34</v>
      </c>
      <c r="E492" s="8" t="s">
        <v>63</v>
      </c>
      <c r="F492" s="17">
        <v>46030</v>
      </c>
      <c r="G492" s="8">
        <v>7</v>
      </c>
      <c r="H492" s="8">
        <v>1</v>
      </c>
      <c r="I492" s="10">
        <v>355</v>
      </c>
      <c r="J492" s="10">
        <f t="shared" si="7"/>
        <v>2485</v>
      </c>
      <c r="K492" s="8" t="s">
        <v>60</v>
      </c>
    </row>
    <row r="493" spans="1:11" x14ac:dyDescent="0.3">
      <c r="A493" s="8" t="s">
        <v>760</v>
      </c>
      <c r="B493" s="8" t="s">
        <v>173</v>
      </c>
      <c r="C493" s="8" t="s">
        <v>23</v>
      </c>
      <c r="D493" s="8" t="s">
        <v>36</v>
      </c>
      <c r="E493" s="8" t="s">
        <v>63</v>
      </c>
      <c r="F493" s="17">
        <v>46114</v>
      </c>
      <c r="G493" s="8">
        <v>10</v>
      </c>
      <c r="H493" s="8">
        <v>4</v>
      </c>
      <c r="I493" s="10">
        <v>345</v>
      </c>
      <c r="J493" s="10">
        <f t="shared" si="7"/>
        <v>3450</v>
      </c>
      <c r="K493" s="8" t="s">
        <v>66</v>
      </c>
    </row>
    <row r="494" spans="1:11" x14ac:dyDescent="0.3">
      <c r="A494" s="8" t="s">
        <v>761</v>
      </c>
      <c r="B494" s="8" t="s">
        <v>758</v>
      </c>
      <c r="C494" s="8" t="s">
        <v>24</v>
      </c>
      <c r="D494" s="8" t="s">
        <v>39</v>
      </c>
      <c r="E494" s="8" t="s">
        <v>69</v>
      </c>
      <c r="F494" s="17">
        <v>46100</v>
      </c>
      <c r="G494" s="8">
        <v>6</v>
      </c>
      <c r="H494" s="8">
        <v>2</v>
      </c>
      <c r="I494" s="10">
        <v>230</v>
      </c>
      <c r="J494" s="10">
        <f t="shared" si="7"/>
        <v>1380</v>
      </c>
      <c r="K494" s="8" t="s">
        <v>80</v>
      </c>
    </row>
    <row r="495" spans="1:11" x14ac:dyDescent="0.3">
      <c r="A495" s="8" t="s">
        <v>762</v>
      </c>
      <c r="B495" s="8" t="s">
        <v>744</v>
      </c>
      <c r="C495" s="8" t="s">
        <v>23</v>
      </c>
      <c r="D495" s="8" t="s">
        <v>35</v>
      </c>
      <c r="E495" s="8" t="s">
        <v>69</v>
      </c>
      <c r="F495" s="17">
        <v>46073</v>
      </c>
      <c r="G495" s="8">
        <v>5</v>
      </c>
      <c r="H495" s="8">
        <v>4</v>
      </c>
      <c r="I495" s="10">
        <v>252</v>
      </c>
      <c r="J495" s="10">
        <f t="shared" si="7"/>
        <v>1260</v>
      </c>
      <c r="K495" s="8" t="s">
        <v>66</v>
      </c>
    </row>
    <row r="496" spans="1:11" x14ac:dyDescent="0.3">
      <c r="A496" s="8" t="s">
        <v>763</v>
      </c>
      <c r="B496" s="8" t="s">
        <v>337</v>
      </c>
      <c r="C496" s="8" t="s">
        <v>26</v>
      </c>
      <c r="D496" s="8" t="s">
        <v>39</v>
      </c>
      <c r="E496" s="8" t="s">
        <v>59</v>
      </c>
      <c r="F496" s="17">
        <v>46149</v>
      </c>
      <c r="G496" s="8">
        <v>5</v>
      </c>
      <c r="H496" s="8">
        <v>1</v>
      </c>
      <c r="I496" s="10">
        <v>626</v>
      </c>
      <c r="J496" s="10">
        <f t="shared" si="7"/>
        <v>3130</v>
      </c>
      <c r="K496" s="8" t="s">
        <v>80</v>
      </c>
    </row>
    <row r="497" spans="1:11" x14ac:dyDescent="0.3">
      <c r="A497" s="8" t="s">
        <v>764</v>
      </c>
      <c r="B497" s="8" t="s">
        <v>269</v>
      </c>
      <c r="C497" s="8" t="s">
        <v>26</v>
      </c>
      <c r="D497" s="8" t="s">
        <v>38</v>
      </c>
      <c r="E497" s="8" t="s">
        <v>75</v>
      </c>
      <c r="F497" s="17">
        <v>46154</v>
      </c>
      <c r="G497" s="8">
        <v>4</v>
      </c>
      <c r="H497" s="8">
        <v>2</v>
      </c>
      <c r="I497" s="10">
        <v>676</v>
      </c>
      <c r="J497" s="10">
        <f t="shared" si="7"/>
        <v>2704</v>
      </c>
      <c r="K497" s="8" t="s">
        <v>80</v>
      </c>
    </row>
    <row r="498" spans="1:11" x14ac:dyDescent="0.3">
      <c r="A498" s="8" t="s">
        <v>765</v>
      </c>
      <c r="B498" s="8" t="s">
        <v>432</v>
      </c>
      <c r="C498" s="8" t="s">
        <v>24</v>
      </c>
      <c r="D498" s="8" t="s">
        <v>37</v>
      </c>
      <c r="E498" s="8" t="s">
        <v>69</v>
      </c>
      <c r="F498" s="17">
        <v>46193</v>
      </c>
      <c r="G498" s="8">
        <v>6</v>
      </c>
      <c r="H498" s="8">
        <v>4</v>
      </c>
      <c r="I498" s="10">
        <v>231</v>
      </c>
      <c r="J498" s="10">
        <f t="shared" si="7"/>
        <v>1386</v>
      </c>
      <c r="K498" s="8" t="s">
        <v>70</v>
      </c>
    </row>
    <row r="499" spans="1:11" x14ac:dyDescent="0.3">
      <c r="A499" s="8" t="s">
        <v>766</v>
      </c>
      <c r="B499" s="8" t="s">
        <v>767</v>
      </c>
      <c r="C499" s="8" t="s">
        <v>27</v>
      </c>
      <c r="D499" s="8" t="s">
        <v>35</v>
      </c>
      <c r="E499" s="8" t="s">
        <v>69</v>
      </c>
      <c r="F499" s="17">
        <v>46139</v>
      </c>
      <c r="G499" s="8">
        <v>9</v>
      </c>
      <c r="H499" s="8">
        <v>4</v>
      </c>
      <c r="I499" s="10">
        <v>474</v>
      </c>
      <c r="J499" s="10">
        <f t="shared" si="7"/>
        <v>4266</v>
      </c>
      <c r="K499" s="8" t="s">
        <v>66</v>
      </c>
    </row>
    <row r="500" spans="1:11" x14ac:dyDescent="0.3">
      <c r="A500" s="8" t="s">
        <v>768</v>
      </c>
      <c r="B500" s="8" t="s">
        <v>657</v>
      </c>
      <c r="C500" s="8" t="s">
        <v>25</v>
      </c>
      <c r="D500" s="8" t="s">
        <v>37</v>
      </c>
      <c r="E500" s="8" t="s">
        <v>75</v>
      </c>
      <c r="F500" s="17">
        <v>46108</v>
      </c>
      <c r="G500" s="8">
        <v>3</v>
      </c>
      <c r="H500" s="8">
        <v>3</v>
      </c>
      <c r="I500" s="10">
        <v>168</v>
      </c>
      <c r="J500" s="10">
        <f t="shared" si="7"/>
        <v>504</v>
      </c>
      <c r="K500" s="8" t="s">
        <v>60</v>
      </c>
    </row>
    <row r="501" spans="1:11" x14ac:dyDescent="0.3">
      <c r="A501" s="8" t="s">
        <v>769</v>
      </c>
      <c r="B501" s="8" t="s">
        <v>770</v>
      </c>
      <c r="C501" s="8" t="s">
        <v>24</v>
      </c>
      <c r="D501" s="8" t="s">
        <v>34</v>
      </c>
      <c r="E501" s="8" t="s">
        <v>75</v>
      </c>
      <c r="F501" s="17">
        <v>46182</v>
      </c>
      <c r="G501" s="8">
        <v>7</v>
      </c>
      <c r="H501" s="8">
        <v>3</v>
      </c>
      <c r="I501" s="10">
        <v>262</v>
      </c>
      <c r="J501" s="10">
        <f t="shared" si="7"/>
        <v>1834</v>
      </c>
      <c r="K501" s="8" t="s">
        <v>66</v>
      </c>
    </row>
  </sheetData>
  <conditionalFormatting sqref="J2:J501">
    <cfRule type="dataBar" priority="1">
      <dataBar>
        <cfvo type="min"/>
        <cfvo type="max"/>
        <color rgb="FFFFB628"/>
      </dataBar>
      <extLst>
        <ext xmlns:x14="http://schemas.microsoft.com/office/spreadsheetml/2009/9/main" uri="{B025F937-C7B1-47D3-B67F-A62EFF666E3E}">
          <x14:id>{F4A0DDB8-7D90-4D1F-8E87-F794792A0023}</x14:id>
        </ext>
      </extLst>
    </cfRule>
    <cfRule type="cellIs" dxfId="0" priority="2" operator="greaterThan">
      <formula>"$3,788.00"</formula>
    </cfRule>
  </conditionalFormatting>
  <pageMargins left="0.75" right="0.75" top="1" bottom="1" header="0.5" footer="0.5"/>
  <tableParts count="1">
    <tablePart r:id="rId1"/>
  </tableParts>
  <extLst>
    <ext xmlns:x14="http://schemas.microsoft.com/office/spreadsheetml/2009/9/main" uri="{78C0D931-6437-407d-A8EE-F0AAD7539E65}">
      <x14:conditionalFormattings>
        <x14:conditionalFormatting xmlns:xm="http://schemas.microsoft.com/office/excel/2006/main">
          <x14:cfRule type="iconSet" priority="3" id="{B7B785B9-CCBE-496A-BC1B-3F49988FE12D}">
            <x14:iconSet iconSet="3Triangles">
              <x14:cfvo type="percent">
                <xm:f>0</xm:f>
              </x14:cfvo>
              <x14:cfvo type="percent">
                <xm:f>33</xm:f>
              </x14:cfvo>
              <x14:cfvo type="percent">
                <xm:f>67</xm:f>
              </x14:cfvo>
            </x14:iconSet>
          </x14:cfRule>
          <xm:sqref>I2:I501</xm:sqref>
        </x14:conditionalFormatting>
        <x14:conditionalFormatting xmlns:xm="http://schemas.microsoft.com/office/excel/2006/main">
          <x14:cfRule type="dataBar" id="{F4A0DDB8-7D90-4D1F-8E87-F794792A0023}">
            <x14:dataBar minLength="0" maxLength="100" border="1" negativeBarBorderColorSameAsPositive="0">
              <x14:cfvo type="autoMin"/>
              <x14:cfvo type="autoMax"/>
              <x14:borderColor rgb="FFFFB628"/>
              <x14:negativeFillColor rgb="FFFF0000"/>
              <x14:negativeBorderColor rgb="FFFF0000"/>
              <x14:axisColor rgb="FF000000"/>
            </x14:dataBar>
          </x14:cfRule>
          <xm:sqref>J2:J501</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43"/>
  <sheetViews>
    <sheetView workbookViewId="0">
      <selection activeCell="A8" sqref="A8"/>
    </sheetView>
  </sheetViews>
  <sheetFormatPr defaultRowHeight="14.4" x14ac:dyDescent="0.3"/>
  <cols>
    <col min="1" max="1" width="34.33203125" customWidth="1"/>
    <col min="2" max="2" width="21.77734375" customWidth="1"/>
    <col min="3" max="3" width="34" customWidth="1"/>
    <col min="4" max="4" width="35.33203125" customWidth="1"/>
    <col min="5" max="5" width="29.6640625" customWidth="1"/>
    <col min="6" max="6" width="26.77734375" customWidth="1"/>
    <col min="7" max="7" width="10.44140625" customWidth="1"/>
  </cols>
  <sheetData>
    <row r="1" spans="1:6" ht="21" x14ac:dyDescent="0.4">
      <c r="A1" s="7" t="s">
        <v>17</v>
      </c>
    </row>
    <row r="3" spans="1:6" ht="15.6" x14ac:dyDescent="0.3">
      <c r="A3" s="1" t="s">
        <v>18</v>
      </c>
    </row>
    <row r="4" spans="1:6" x14ac:dyDescent="0.3">
      <c r="A4" s="6" t="s">
        <v>11</v>
      </c>
      <c r="B4" s="6" t="s">
        <v>19</v>
      </c>
      <c r="C4" s="6" t="s">
        <v>20</v>
      </c>
      <c r="D4" s="6" t="s">
        <v>21</v>
      </c>
      <c r="E4" s="6" t="s">
        <v>13</v>
      </c>
      <c r="F4" s="6" t="s">
        <v>22</v>
      </c>
    </row>
    <row r="5" spans="1:6" x14ac:dyDescent="0.3">
      <c r="A5" s="8" t="s">
        <v>23</v>
      </c>
      <c r="B5" s="9">
        <f>COUNTIF('Bookings Data'!C:C, A5)</f>
        <v>87</v>
      </c>
      <c r="C5" s="9">
        <f>SUMIF('Bookings Data'!C:C, A5, 'Bookings Data'!G:G)</f>
        <v>447</v>
      </c>
      <c r="D5" s="10">
        <f>AVERAGEIF('Bookings Data'!C:C, A5, 'Bookings Data'!I:I)</f>
        <v>327.91954022988506</v>
      </c>
      <c r="E5" s="10">
        <f>SUMIF('Bookings Data'!C:C, A5, 'Bookings Data'!J:J)</f>
        <v>146840</v>
      </c>
      <c r="F5" s="14">
        <f>E5/$E$10</f>
        <v>0.14528774572467754</v>
      </c>
    </row>
    <row r="6" spans="1:6" x14ac:dyDescent="0.3">
      <c r="A6" s="8" t="s">
        <v>24</v>
      </c>
      <c r="B6" s="9">
        <f>COUNTIF('Bookings Data'!C:C, A6)</f>
        <v>110</v>
      </c>
      <c r="C6" s="9">
        <f>SUMIF('Bookings Data'!C:C, A6, 'Bookings Data'!G:G)</f>
        <v>581</v>
      </c>
      <c r="D6" s="10">
        <f>AVERAGEIF('Bookings Data'!C:C, A6, 'Bookings Data'!I:I)</f>
        <v>232.52727272727273</v>
      </c>
      <c r="E6" s="10">
        <f>SUMIF('Bookings Data'!C:C, A6, 'Bookings Data'!J:J)</f>
        <v>135014</v>
      </c>
      <c r="F6" s="14">
        <f>E6/$E$10</f>
        <v>0.1335867590661374</v>
      </c>
    </row>
    <row r="7" spans="1:6" x14ac:dyDescent="0.3">
      <c r="A7" s="8" t="s">
        <v>25</v>
      </c>
      <c r="B7" s="9">
        <f>COUNTIF('Bookings Data'!C:C, A7)</f>
        <v>86</v>
      </c>
      <c r="C7" s="9">
        <f>SUMIF('Bookings Data'!C:C, A7, 'Bookings Data'!G:G)</f>
        <v>469</v>
      </c>
      <c r="D7" s="10">
        <f>AVERAGEIF('Bookings Data'!C:C, A7, 'Bookings Data'!I:I)</f>
        <v>135.03488372093022</v>
      </c>
      <c r="E7" s="10">
        <f>SUMIF('Bookings Data'!C:C, A7, 'Bookings Data'!J:J)</f>
        <v>62829</v>
      </c>
      <c r="F7" s="14">
        <f>E7/$E$10</f>
        <v>6.2164830946171111E-2</v>
      </c>
    </row>
    <row r="8" spans="1:6" x14ac:dyDescent="0.3">
      <c r="A8" s="8" t="s">
        <v>26</v>
      </c>
      <c r="B8" s="9">
        <f>COUNTIF('Bookings Data'!C:C, A8)</f>
        <v>118</v>
      </c>
      <c r="C8" s="9">
        <f>SUMIF('Bookings Data'!C:C, A8, 'Bookings Data'!G:G)</f>
        <v>657</v>
      </c>
      <c r="D8" s="10">
        <f>AVERAGEIF('Bookings Data'!C:C, A8, 'Bookings Data'!I:I)</f>
        <v>612.34745762711862</v>
      </c>
      <c r="E8" s="10">
        <f>SUMIF('Bookings Data'!C:C, A8, 'Bookings Data'!J:J)</f>
        <v>404334</v>
      </c>
      <c r="F8" s="14">
        <f>E8/$E$10</f>
        <v>0.40005976150804801</v>
      </c>
    </row>
    <row r="9" spans="1:6" x14ac:dyDescent="0.3">
      <c r="A9" s="8" t="s">
        <v>27</v>
      </c>
      <c r="B9" s="9">
        <f>COUNTIF('Bookings Data'!C:C, A9)</f>
        <v>99</v>
      </c>
      <c r="C9" s="9">
        <f>SUMIF('Bookings Data'!C:C, A9, 'Bookings Data'!G:G)</f>
        <v>587</v>
      </c>
      <c r="D9" s="10">
        <f>AVERAGEIF('Bookings Data'!C:C, A9, 'Bookings Data'!I:I)</f>
        <v>450.91919191919192</v>
      </c>
      <c r="E9" s="10">
        <f>SUMIF('Bookings Data'!C:C, A9, 'Bookings Data'!J:J)</f>
        <v>261667</v>
      </c>
      <c r="F9" s="14">
        <f>E9/$E$10</f>
        <v>0.25890090275496597</v>
      </c>
    </row>
    <row r="10" spans="1:6" x14ac:dyDescent="0.3">
      <c r="A10" s="11" t="s">
        <v>28</v>
      </c>
      <c r="B10" s="12">
        <f>SUM(B5:B9)</f>
        <v>500</v>
      </c>
      <c r="C10" s="12">
        <f>SUM(C5:C9)</f>
        <v>2741</v>
      </c>
      <c r="D10" s="13">
        <f>AVERAGE(D5:D9)</f>
        <v>351.74966924487973</v>
      </c>
      <c r="E10" s="13">
        <f>SUM(E5:E9)</f>
        <v>1010684</v>
      </c>
      <c r="F10" s="15">
        <f>SUM(F5:F9)</f>
        <v>1</v>
      </c>
    </row>
    <row r="11" spans="1:6" x14ac:dyDescent="0.3">
      <c r="A11" s="11" t="s">
        <v>29</v>
      </c>
      <c r="B11" s="12">
        <f>MIN(B5:B9)</f>
        <v>86</v>
      </c>
      <c r="C11" s="12">
        <f>MIN(C5:C9)</f>
        <v>447</v>
      </c>
      <c r="D11" s="13">
        <f>MIN(D5:D9)</f>
        <v>135.03488372093022</v>
      </c>
      <c r="E11" s="13">
        <f>MIN(E5:E9)</f>
        <v>62829</v>
      </c>
      <c r="F11" s="15">
        <f>MIN(F5:F9)</f>
        <v>6.2164830946171111E-2</v>
      </c>
    </row>
    <row r="12" spans="1:6" x14ac:dyDescent="0.3">
      <c r="A12" s="11" t="s">
        <v>30</v>
      </c>
      <c r="B12" s="12">
        <f>MAX(B5:B9)</f>
        <v>118</v>
      </c>
      <c r="C12" s="12">
        <f>MAX(C5:C9)</f>
        <v>657</v>
      </c>
      <c r="D12" s="13">
        <f>MAX(D5:D9)</f>
        <v>612.34745762711862</v>
      </c>
      <c r="E12" s="13">
        <f>MAX(E5:E9)</f>
        <v>404334</v>
      </c>
      <c r="F12" s="15">
        <f>MAX(F5:F9)</f>
        <v>0.40005976150804801</v>
      </c>
    </row>
    <row r="15" spans="1:6" ht="15.6" x14ac:dyDescent="0.3">
      <c r="A15" s="1" t="s">
        <v>31</v>
      </c>
    </row>
    <row r="16" spans="1:6" x14ac:dyDescent="0.3">
      <c r="A16" s="6" t="s">
        <v>32</v>
      </c>
      <c r="B16" s="6" t="s">
        <v>19</v>
      </c>
      <c r="C16" s="6" t="s">
        <v>13</v>
      </c>
      <c r="D16" s="6" t="s">
        <v>33</v>
      </c>
    </row>
    <row r="17" spans="1:4" x14ac:dyDescent="0.3">
      <c r="A17" s="8" t="s">
        <v>34</v>
      </c>
      <c r="B17" s="9">
        <f>COUNTIF('Bookings Data'!D:D, A17)</f>
        <v>92</v>
      </c>
      <c r="C17" s="10">
        <f>SUMIF('Bookings Data'!D:D, A17, 'Bookings Data'!J:J)</f>
        <v>204547</v>
      </c>
      <c r="D17" s="10">
        <f t="shared" ref="D17:D23" si="0">C17/B17</f>
        <v>2223.336956521739</v>
      </c>
    </row>
    <row r="18" spans="1:4" x14ac:dyDescent="0.3">
      <c r="A18" s="8" t="s">
        <v>35</v>
      </c>
      <c r="B18" s="9">
        <f>COUNTIF('Bookings Data'!D:D, A18)</f>
        <v>72</v>
      </c>
      <c r="C18" s="10">
        <f>SUMIF('Bookings Data'!D:D, A18, 'Bookings Data'!J:J)</f>
        <v>148566</v>
      </c>
      <c r="D18" s="10">
        <f t="shared" si="0"/>
        <v>2063.4166666666665</v>
      </c>
    </row>
    <row r="19" spans="1:4" x14ac:dyDescent="0.3">
      <c r="A19" s="8" t="s">
        <v>36</v>
      </c>
      <c r="B19" s="9">
        <f>COUNTIF('Bookings Data'!D:D, A19)</f>
        <v>87</v>
      </c>
      <c r="C19" s="10">
        <f>SUMIF('Bookings Data'!D:D, A19, 'Bookings Data'!J:J)</f>
        <v>176350</v>
      </c>
      <c r="D19" s="10">
        <f t="shared" si="0"/>
        <v>2027.0114942528735</v>
      </c>
    </row>
    <row r="20" spans="1:4" x14ac:dyDescent="0.3">
      <c r="A20" s="8" t="s">
        <v>37</v>
      </c>
      <c r="B20" s="9">
        <f>COUNTIF('Bookings Data'!D:D, A20)</f>
        <v>83</v>
      </c>
      <c r="C20" s="10">
        <f>SUMIF('Bookings Data'!D:D, A20, 'Bookings Data'!J:J)</f>
        <v>149930</v>
      </c>
      <c r="D20" s="10">
        <f t="shared" si="0"/>
        <v>1806.3855421686746</v>
      </c>
    </row>
    <row r="21" spans="1:4" x14ac:dyDescent="0.3">
      <c r="A21" s="8" t="s">
        <v>38</v>
      </c>
      <c r="B21" s="9">
        <f>COUNTIF('Bookings Data'!D:D, A21)</f>
        <v>74</v>
      </c>
      <c r="C21" s="10">
        <f>SUMIF('Bookings Data'!D:D, A21, 'Bookings Data'!J:J)</f>
        <v>143581</v>
      </c>
      <c r="D21" s="10">
        <f t="shared" si="0"/>
        <v>1940.2837837837837</v>
      </c>
    </row>
    <row r="22" spans="1:4" x14ac:dyDescent="0.3">
      <c r="A22" s="8" t="s">
        <v>39</v>
      </c>
      <c r="B22" s="9">
        <f>COUNTIF('Bookings Data'!D:D, A22)</f>
        <v>92</v>
      </c>
      <c r="C22" s="10">
        <f>SUMIF('Bookings Data'!D:D, A22, 'Bookings Data'!J:J)</f>
        <v>187710</v>
      </c>
      <c r="D22" s="10">
        <f t="shared" si="0"/>
        <v>2040.3260869565217</v>
      </c>
    </row>
    <row r="23" spans="1:4" x14ac:dyDescent="0.3">
      <c r="A23" s="11" t="s">
        <v>28</v>
      </c>
      <c r="B23" s="12">
        <f>SUM(B17:B22)</f>
        <v>500</v>
      </c>
      <c r="C23" s="13">
        <f>SUM(C17:C22)</f>
        <v>1010684</v>
      </c>
      <c r="D23" s="13">
        <f t="shared" si="0"/>
        <v>2021.3679999999999</v>
      </c>
    </row>
    <row r="26" spans="1:4" ht="15.6" x14ac:dyDescent="0.3">
      <c r="A26" s="1" t="s">
        <v>40</v>
      </c>
    </row>
    <row r="27" spans="1:4" x14ac:dyDescent="0.3">
      <c r="A27" s="6" t="s">
        <v>41</v>
      </c>
      <c r="B27" s="6" t="s">
        <v>42</v>
      </c>
      <c r="C27" s="6" t="s">
        <v>43</v>
      </c>
      <c r="D27" s="6" t="s">
        <v>44</v>
      </c>
    </row>
    <row r="28" spans="1:4" x14ac:dyDescent="0.3">
      <c r="A28" s="8" t="s">
        <v>45</v>
      </c>
      <c r="B28" s="10">
        <f>MIN('Bookings Data'!I:I)</f>
        <v>102</v>
      </c>
      <c r="C28" s="10">
        <f>MAX('Bookings Data'!I:I)</f>
        <v>747</v>
      </c>
      <c r="D28" s="10">
        <f>AVERAGE('Bookings Data'!I:I)</f>
        <v>365.23599999999999</v>
      </c>
    </row>
    <row r="29" spans="1:4" x14ac:dyDescent="0.3">
      <c r="A29" s="8" t="s">
        <v>46</v>
      </c>
      <c r="B29" s="10">
        <f>MIN('Bookings Data'!J:J)</f>
        <v>106</v>
      </c>
      <c r="C29" s="10">
        <f>MAX('Bookings Data'!J:J)</f>
        <v>7470</v>
      </c>
      <c r="D29" s="10">
        <f>AVERAGE('Bookings Data'!J:J)</f>
        <v>2021.3679999999999</v>
      </c>
    </row>
    <row r="30" spans="1:4" x14ac:dyDescent="0.3">
      <c r="A30" s="8" t="s">
        <v>47</v>
      </c>
      <c r="B30" s="16">
        <f>MIN('Bookings Data'!G:G)</f>
        <v>1</v>
      </c>
      <c r="C30" s="16">
        <f>MAX('Bookings Data'!G:G)</f>
        <v>10</v>
      </c>
      <c r="D30" s="16">
        <f>AVERAGE('Bookings Data'!G:G)</f>
        <v>5.4820000000000002</v>
      </c>
    </row>
    <row r="31" spans="1:4" x14ac:dyDescent="0.3">
      <c r="A31" s="8" t="s">
        <v>48</v>
      </c>
      <c r="B31" s="16">
        <f>MIN('Bookings Data'!H:H)</f>
        <v>1</v>
      </c>
      <c r="C31" s="16">
        <f>MAX('Bookings Data'!H:H)</f>
        <v>4</v>
      </c>
      <c r="D31" s="16">
        <f>AVERAGE('Bookings Data'!H:H)</f>
        <v>2.492</v>
      </c>
    </row>
    <row r="33" spans="1:9" x14ac:dyDescent="0.3">
      <c r="A33" s="24" t="s">
        <v>776</v>
      </c>
    </row>
    <row r="34" spans="1:9" x14ac:dyDescent="0.3">
      <c r="A34" s="8" t="str">
        <f>INDEX('Bookings Data'!A:K,10,3)</f>
        <v>Deluxe Suite</v>
      </c>
    </row>
    <row r="36" spans="1:9" x14ac:dyDescent="0.3">
      <c r="A36" s="24" t="s">
        <v>777</v>
      </c>
    </row>
    <row r="37" spans="1:9" x14ac:dyDescent="0.3">
      <c r="A37" s="8">
        <f>MATCH('Bookings Data'!A9,'Bookings Data'!A1:A28,0)</f>
        <v>9</v>
      </c>
    </row>
    <row r="39" spans="1:9" x14ac:dyDescent="0.3">
      <c r="A39" s="25" t="s">
        <v>778</v>
      </c>
      <c r="B39" t="s">
        <v>779</v>
      </c>
    </row>
    <row r="40" spans="1:9" x14ac:dyDescent="0.3">
      <c r="A40" s="8" t="str">
        <f>VLOOKUP('Bookings Data'!A11,'Bookings Data'!A1:K23,11,0)</f>
        <v>Refunded</v>
      </c>
    </row>
    <row r="42" spans="1:9" x14ac:dyDescent="0.3">
      <c r="A42" s="24" t="s">
        <v>780</v>
      </c>
      <c r="B42" t="s">
        <v>781</v>
      </c>
    </row>
    <row r="43" spans="1:9" x14ac:dyDescent="0.3">
      <c r="A43" s="8" t="str" cm="1">
        <f t="array" ref="A43:I43">_xlfn.XLOOKUP('Bookings Data'!A11,'Bookings Data'!A2:A15,'Bookings Data'!B2:J15,0)</f>
        <v>Rahul Singh</v>
      </c>
      <c r="B43" t="str">
        <v>Executive Room</v>
      </c>
      <c r="C43" t="str">
        <v>Agoda</v>
      </c>
      <c r="D43" t="str">
        <v>Contract</v>
      </c>
      <c r="E43">
        <v>46250</v>
      </c>
      <c r="F43">
        <v>3</v>
      </c>
      <c r="G43">
        <v>1</v>
      </c>
      <c r="H43">
        <v>199</v>
      </c>
      <c r="I43">
        <v>597</v>
      </c>
    </row>
  </sheetData>
  <pageMargins left="0.75" right="0.75" top="1" bottom="1" header="0.5" footer="0.5"/>
  <pageSetup orientation="portrait" r:id="rId1"/>
  <tableParts count="3">
    <tablePart r:id="rId2"/>
    <tablePart r:id="rId3"/>
    <tablePart r:id="rId4"/>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49"/>
  <sheetViews>
    <sheetView tabSelected="1" topLeftCell="A18" zoomScale="96" zoomScaleNormal="100" workbookViewId="0">
      <selection activeCell="H49" sqref="H49"/>
    </sheetView>
  </sheetViews>
  <sheetFormatPr defaultRowHeight="14.4" x14ac:dyDescent="0.3"/>
  <cols>
    <col min="1" max="1" width="30.5546875" customWidth="1"/>
    <col min="2" max="2" width="18.6640625" customWidth="1"/>
    <col min="3" max="3" width="18.44140625" customWidth="1"/>
    <col min="4" max="4" width="23.6640625" customWidth="1"/>
    <col min="5" max="5" width="19.33203125" customWidth="1"/>
    <col min="6" max="6" width="25.88671875" customWidth="1"/>
    <col min="7" max="7" width="25.5546875" customWidth="1"/>
    <col min="8" max="8" width="30.109375" customWidth="1"/>
  </cols>
  <sheetData>
    <row r="1" spans="1:8" ht="32.4" x14ac:dyDescent="0.75">
      <c r="A1" s="23" t="s">
        <v>0</v>
      </c>
      <c r="B1" s="23"/>
      <c r="C1" s="23"/>
      <c r="D1" s="23"/>
      <c r="E1" s="23"/>
      <c r="F1" s="23"/>
      <c r="G1" s="23"/>
      <c r="H1" s="23"/>
    </row>
    <row r="2" spans="1:8" ht="19.8" x14ac:dyDescent="0.3">
      <c r="A2" s="2" t="s">
        <v>1</v>
      </c>
      <c r="B2" s="3">
        <f>'Pivot &amp; Summary Analysis'!B10</f>
        <v>500</v>
      </c>
      <c r="C2" s="2" t="s">
        <v>2</v>
      </c>
      <c r="D2" s="4">
        <f>'Pivot &amp; Summary Analysis'!E10</f>
        <v>1010684</v>
      </c>
      <c r="E2" s="2" t="s">
        <v>3</v>
      </c>
      <c r="F2" s="4">
        <f>'Pivot &amp; Summary Analysis'!D10</f>
        <v>351.74966924487973</v>
      </c>
      <c r="G2" s="2" t="s">
        <v>4</v>
      </c>
      <c r="H2" s="3">
        <f>'Pivot &amp; Summary Analysis'!C10</f>
        <v>2741</v>
      </c>
    </row>
    <row r="3" spans="1:8" ht="19.8" x14ac:dyDescent="0.3">
      <c r="A3" s="2" t="s">
        <v>5</v>
      </c>
      <c r="B3" s="4">
        <f>'Pivot &amp; Summary Analysis'!B28</f>
        <v>102</v>
      </c>
      <c r="C3" s="2" t="s">
        <v>6</v>
      </c>
      <c r="D3" s="4">
        <f>'Pivot &amp; Summary Analysis'!C28</f>
        <v>747</v>
      </c>
      <c r="E3" s="2" t="s">
        <v>7</v>
      </c>
      <c r="F3" s="4">
        <f>'Pivot &amp; Summary Analysis'!B29</f>
        <v>106</v>
      </c>
      <c r="G3" s="2" t="s">
        <v>8</v>
      </c>
      <c r="H3" s="4">
        <f>'Pivot &amp; Summary Analysis'!C29</f>
        <v>7470</v>
      </c>
    </row>
    <row r="4" spans="1:8" ht="15.6" customHeight="1" x14ac:dyDescent="0.3">
      <c r="A4" s="21"/>
      <c r="B4" s="21"/>
      <c r="C4" s="21"/>
      <c r="D4" s="21"/>
      <c r="E4" s="21"/>
      <c r="F4" s="21"/>
      <c r="G4" s="21"/>
      <c r="H4" s="21"/>
    </row>
    <row r="5" spans="1:8" ht="14.4" customHeight="1" x14ac:dyDescent="0.3">
      <c r="A5" s="21"/>
      <c r="B5" s="21"/>
      <c r="C5" s="21"/>
      <c r="D5" s="21"/>
      <c r="E5" s="21"/>
      <c r="F5" s="21"/>
      <c r="G5" s="21"/>
      <c r="H5" s="21"/>
    </row>
    <row r="6" spans="1:8" ht="14.4" customHeight="1" x14ac:dyDescent="0.3">
      <c r="A6" s="21"/>
      <c r="B6" s="21"/>
      <c r="C6" s="21"/>
      <c r="D6" s="21"/>
      <c r="E6" s="21"/>
      <c r="F6" s="21"/>
      <c r="G6" s="21"/>
      <c r="H6" s="21"/>
    </row>
    <row r="7" spans="1:8" ht="14.4" customHeight="1" x14ac:dyDescent="0.3">
      <c r="A7" s="21"/>
      <c r="B7" s="21"/>
      <c r="C7" s="21"/>
      <c r="D7" s="21"/>
      <c r="E7" s="21"/>
      <c r="F7" s="21"/>
      <c r="G7" s="21"/>
      <c r="H7" s="21"/>
    </row>
    <row r="8" spans="1:8" ht="15.6" customHeight="1" x14ac:dyDescent="0.3">
      <c r="A8" s="21"/>
      <c r="B8" s="21"/>
      <c r="C8" s="21"/>
      <c r="D8" s="21"/>
      <c r="E8" s="21"/>
      <c r="F8" s="21"/>
      <c r="G8" s="21"/>
      <c r="H8" s="21"/>
    </row>
    <row r="9" spans="1:8" ht="14.4" customHeight="1" x14ac:dyDescent="0.3">
      <c r="A9" s="21"/>
      <c r="B9" s="21"/>
      <c r="C9" s="21"/>
      <c r="D9" s="21"/>
      <c r="E9" s="21"/>
      <c r="F9" s="21"/>
      <c r="G9" s="21"/>
      <c r="H9" s="21"/>
    </row>
    <row r="10" spans="1:8" ht="14.4" customHeight="1" x14ac:dyDescent="0.3">
      <c r="A10" s="21"/>
      <c r="B10" s="21"/>
      <c r="C10" s="21"/>
      <c r="D10" s="21"/>
      <c r="E10" s="21"/>
      <c r="F10" s="21"/>
      <c r="G10" s="21"/>
      <c r="H10" s="21"/>
    </row>
    <row r="11" spans="1:8" ht="14.4" customHeight="1" x14ac:dyDescent="0.3">
      <c r="A11" s="21"/>
      <c r="B11" s="21"/>
      <c r="C11" s="21"/>
      <c r="D11" s="21"/>
      <c r="E11" s="21"/>
      <c r="F11" s="21"/>
      <c r="G11" s="21"/>
      <c r="H11" s="21"/>
    </row>
    <row r="12" spans="1:8" ht="14.4" customHeight="1" x14ac:dyDescent="0.3">
      <c r="A12" s="21"/>
      <c r="B12" s="21"/>
      <c r="C12" s="21"/>
      <c r="D12" s="21"/>
      <c r="E12" s="21"/>
      <c r="F12" s="21"/>
      <c r="G12" s="21"/>
      <c r="H12" s="21"/>
    </row>
    <row r="13" spans="1:8" ht="14.4" customHeight="1" x14ac:dyDescent="0.3">
      <c r="A13" s="21"/>
      <c r="B13" s="21"/>
      <c r="C13" s="21"/>
      <c r="D13" s="21"/>
      <c r="E13" s="21"/>
      <c r="F13" s="21"/>
      <c r="G13" s="21"/>
      <c r="H13" s="21"/>
    </row>
    <row r="14" spans="1:8" ht="14.4" customHeight="1" x14ac:dyDescent="0.3">
      <c r="A14" s="21"/>
      <c r="B14" s="21"/>
      <c r="C14" s="21"/>
      <c r="D14" s="21"/>
      <c r="E14" s="21"/>
      <c r="F14" s="21"/>
      <c r="G14" s="21"/>
      <c r="H14" s="21"/>
    </row>
    <row r="15" spans="1:8" ht="14.4" customHeight="1" x14ac:dyDescent="0.3">
      <c r="A15" s="21"/>
      <c r="B15" s="21"/>
      <c r="C15" s="21"/>
      <c r="D15" s="21"/>
      <c r="E15" s="21"/>
      <c r="F15" s="21"/>
      <c r="G15" s="21"/>
      <c r="H15" s="21"/>
    </row>
    <row r="16" spans="1:8" ht="14.4" customHeight="1" x14ac:dyDescent="0.3">
      <c r="A16" s="21"/>
      <c r="B16" s="21"/>
      <c r="C16" s="21"/>
      <c r="D16" s="21"/>
      <c r="E16" s="21"/>
      <c r="F16" s="21"/>
      <c r="G16" s="21"/>
      <c r="H16" s="21"/>
    </row>
    <row r="17" spans="1:8" ht="14.4" customHeight="1" x14ac:dyDescent="0.3">
      <c r="A17" s="21"/>
      <c r="B17" s="21"/>
      <c r="C17" s="21"/>
      <c r="D17" s="21"/>
      <c r="E17" s="21"/>
      <c r="F17" s="21"/>
      <c r="G17" s="21"/>
      <c r="H17" s="21"/>
    </row>
    <row r="18" spans="1:8" ht="14.4" customHeight="1" x14ac:dyDescent="0.3">
      <c r="A18" s="21"/>
      <c r="B18" s="21"/>
      <c r="C18" s="21"/>
      <c r="D18" s="21"/>
      <c r="E18" s="21"/>
      <c r="F18" s="21"/>
      <c r="G18" s="21"/>
      <c r="H18" s="21"/>
    </row>
    <row r="19" spans="1:8" ht="14.4" customHeight="1" x14ac:dyDescent="0.3">
      <c r="A19" s="21"/>
      <c r="B19" s="21"/>
      <c r="C19" s="21"/>
      <c r="D19" s="21"/>
      <c r="E19" s="21"/>
      <c r="F19" s="21"/>
      <c r="G19" s="21"/>
      <c r="H19" s="21"/>
    </row>
    <row r="20" spans="1:8" ht="14.4" customHeight="1" x14ac:dyDescent="0.3">
      <c r="A20" s="21"/>
      <c r="B20" s="21"/>
      <c r="C20" s="21"/>
      <c r="D20" s="21"/>
      <c r="E20" s="21"/>
      <c r="F20" s="21"/>
      <c r="G20" s="21"/>
      <c r="H20" s="21"/>
    </row>
    <row r="21" spans="1:8" ht="14.4" customHeight="1" x14ac:dyDescent="0.3">
      <c r="A21" s="21"/>
      <c r="B21" s="21"/>
      <c r="C21" s="21"/>
      <c r="D21" s="21"/>
      <c r="E21" s="21"/>
      <c r="F21" s="21"/>
      <c r="G21" s="21"/>
      <c r="H21" s="21"/>
    </row>
    <row r="22" spans="1:8" ht="14.4" customHeight="1" x14ac:dyDescent="0.3">
      <c r="A22" s="21"/>
      <c r="B22" s="21"/>
      <c r="C22" s="21"/>
      <c r="D22" s="21"/>
      <c r="E22" s="21"/>
      <c r="F22" s="21"/>
      <c r="G22" s="21"/>
      <c r="H22" s="21"/>
    </row>
    <row r="23" spans="1:8" ht="14.4" customHeight="1" x14ac:dyDescent="0.3">
      <c r="A23" s="21"/>
      <c r="B23" s="21"/>
      <c r="C23" s="21"/>
      <c r="D23" s="21"/>
      <c r="E23" s="21"/>
      <c r="F23" s="21"/>
      <c r="G23" s="21"/>
      <c r="H23" s="21"/>
    </row>
    <row r="24" spans="1:8" ht="14.4" customHeight="1" x14ac:dyDescent="0.3">
      <c r="A24" s="21"/>
      <c r="B24" s="21"/>
      <c r="C24" s="21"/>
      <c r="D24" s="21"/>
      <c r="E24" s="21"/>
      <c r="F24" s="21"/>
      <c r="G24" s="21"/>
      <c r="H24" s="21"/>
    </row>
    <row r="25" spans="1:8" ht="14.4" customHeight="1" x14ac:dyDescent="0.3">
      <c r="A25" s="21"/>
      <c r="B25" s="21"/>
      <c r="C25" s="21"/>
      <c r="D25" s="21"/>
      <c r="E25" s="21"/>
      <c r="F25" s="21"/>
      <c r="G25" s="21"/>
      <c r="H25" s="21"/>
    </row>
    <row r="26" spans="1:8" ht="15.6" customHeight="1" x14ac:dyDescent="0.3">
      <c r="A26" s="21"/>
      <c r="B26" s="21"/>
      <c r="C26" s="21"/>
      <c r="D26" s="21"/>
      <c r="E26" s="21"/>
      <c r="F26" s="21"/>
      <c r="G26" s="21"/>
      <c r="H26" s="21"/>
    </row>
    <row r="27" spans="1:8" ht="14.4" customHeight="1" x14ac:dyDescent="0.3">
      <c r="A27" s="21"/>
      <c r="B27" s="21"/>
      <c r="C27" s="21"/>
      <c r="D27" s="21"/>
      <c r="E27" s="21"/>
      <c r="F27" s="21"/>
      <c r="G27" s="21"/>
      <c r="H27" s="21"/>
    </row>
    <row r="28" spans="1:8" ht="14.4" customHeight="1" x14ac:dyDescent="0.3">
      <c r="A28" s="21"/>
      <c r="B28" s="21"/>
      <c r="C28" s="21"/>
      <c r="D28" s="21"/>
      <c r="E28" s="21"/>
      <c r="F28" s="21"/>
      <c r="G28" s="21"/>
      <c r="H28" s="21"/>
    </row>
    <row r="29" spans="1:8" ht="14.4" customHeight="1" x14ac:dyDescent="0.3">
      <c r="A29" s="21"/>
      <c r="B29" s="21"/>
      <c r="C29" s="21"/>
      <c r="D29" s="21"/>
      <c r="E29" s="21"/>
      <c r="F29" s="21"/>
      <c r="G29" s="21"/>
      <c r="H29" s="21"/>
    </row>
    <row r="30" spans="1:8" x14ac:dyDescent="0.3">
      <c r="A30" s="22"/>
      <c r="B30" s="22"/>
      <c r="C30" s="22"/>
      <c r="D30" s="22"/>
      <c r="E30" s="22"/>
      <c r="F30" s="22"/>
      <c r="G30" s="22"/>
      <c r="H30" s="22"/>
    </row>
    <row r="31" spans="1:8" x14ac:dyDescent="0.3">
      <c r="A31" s="22"/>
      <c r="B31" s="22"/>
      <c r="C31" s="22"/>
      <c r="D31" s="22"/>
      <c r="E31" s="22"/>
      <c r="F31" s="22"/>
      <c r="G31" s="22"/>
      <c r="H31" s="22"/>
    </row>
    <row r="32" spans="1:8" x14ac:dyDescent="0.3">
      <c r="A32" s="22"/>
      <c r="B32" s="22"/>
      <c r="C32" s="22"/>
      <c r="D32" s="22"/>
      <c r="E32" s="22"/>
      <c r="F32" s="22"/>
      <c r="G32" s="22"/>
      <c r="H32" s="22"/>
    </row>
    <row r="33" spans="1:8" x14ac:dyDescent="0.3">
      <c r="A33" s="22"/>
      <c r="B33" s="22"/>
      <c r="C33" s="22"/>
      <c r="D33" s="22"/>
      <c r="E33" s="22"/>
      <c r="F33" s="22"/>
      <c r="G33" s="22"/>
      <c r="H33" s="22"/>
    </row>
    <row r="34" spans="1:8" x14ac:dyDescent="0.3">
      <c r="A34" s="22"/>
      <c r="B34" s="22"/>
      <c r="C34" s="22"/>
      <c r="D34" s="22"/>
      <c r="E34" s="22"/>
      <c r="F34" s="22"/>
      <c r="G34" s="22"/>
      <c r="H34" s="22"/>
    </row>
    <row r="35" spans="1:8" x14ac:dyDescent="0.3">
      <c r="A35" s="22"/>
      <c r="B35" s="22"/>
      <c r="C35" s="22"/>
      <c r="D35" s="22"/>
      <c r="E35" s="22"/>
      <c r="F35" s="22"/>
      <c r="G35" s="22"/>
      <c r="H35" s="22"/>
    </row>
    <row r="36" spans="1:8" x14ac:dyDescent="0.3">
      <c r="A36" s="22"/>
      <c r="B36" s="22"/>
      <c r="C36" s="22"/>
      <c r="D36" s="22"/>
      <c r="E36" s="22"/>
      <c r="F36" s="22"/>
      <c r="G36" s="22"/>
      <c r="H36" s="22"/>
    </row>
    <row r="37" spans="1:8" x14ac:dyDescent="0.3">
      <c r="A37" s="22"/>
      <c r="B37" s="22"/>
      <c r="C37" s="22"/>
      <c r="D37" s="22"/>
      <c r="E37" s="22"/>
      <c r="F37" s="22"/>
      <c r="G37" s="22"/>
      <c r="H37" s="22"/>
    </row>
    <row r="38" spans="1:8" x14ac:dyDescent="0.3">
      <c r="A38" s="22"/>
      <c r="B38" s="22"/>
      <c r="C38" s="22"/>
      <c r="D38" s="22"/>
      <c r="E38" s="22"/>
      <c r="F38" s="22"/>
      <c r="G38" s="22"/>
      <c r="H38" s="22"/>
    </row>
    <row r="39" spans="1:8" x14ac:dyDescent="0.3">
      <c r="A39" s="22"/>
      <c r="B39" s="22"/>
      <c r="C39" s="22"/>
      <c r="D39" s="22"/>
      <c r="E39" s="22"/>
      <c r="F39" s="22"/>
      <c r="G39" s="22"/>
      <c r="H39" s="22"/>
    </row>
    <row r="40" spans="1:8" x14ac:dyDescent="0.3">
      <c r="A40" s="22"/>
      <c r="B40" s="22"/>
      <c r="C40" s="22"/>
      <c r="D40" s="22"/>
      <c r="E40" s="22"/>
      <c r="F40" s="22"/>
      <c r="G40" s="22"/>
      <c r="H40" s="22"/>
    </row>
    <row r="41" spans="1:8" x14ac:dyDescent="0.3">
      <c r="A41" s="22"/>
      <c r="B41" s="22"/>
      <c r="C41" s="22"/>
      <c r="D41" s="22"/>
      <c r="E41" s="22"/>
      <c r="F41" s="22"/>
      <c r="G41" s="22"/>
      <c r="H41" s="22"/>
    </row>
    <row r="42" spans="1:8" x14ac:dyDescent="0.3">
      <c r="A42" s="5" t="s">
        <v>9</v>
      </c>
      <c r="F42" s="5" t="s">
        <v>10</v>
      </c>
    </row>
    <row r="43" spans="1:8" x14ac:dyDescent="0.3">
      <c r="A43" s="6" t="s">
        <v>11</v>
      </c>
      <c r="B43" s="6" t="s">
        <v>12</v>
      </c>
      <c r="C43" s="6" t="s">
        <v>13</v>
      </c>
      <c r="D43" s="6" t="s">
        <v>14</v>
      </c>
      <c r="E43" s="6" t="s">
        <v>15</v>
      </c>
      <c r="F43" s="6" t="s">
        <v>16</v>
      </c>
      <c r="G43" s="6" t="s">
        <v>771</v>
      </c>
      <c r="H43" s="6" t="s">
        <v>772</v>
      </c>
    </row>
    <row r="44" spans="1:8" x14ac:dyDescent="0.3">
      <c r="A44" s="8" t="str">
        <f>'Pivot &amp; Summary Analysis'!A5</f>
        <v>Deluxe Suite</v>
      </c>
      <c r="B44" s="9">
        <f>'Pivot &amp; Summary Analysis'!B5</f>
        <v>87</v>
      </c>
      <c r="C44" s="10">
        <f>'Pivot &amp; Summary Analysis'!E5</f>
        <v>146840</v>
      </c>
      <c r="D44" s="10">
        <f>'Pivot &amp; Summary Analysis'!B11</f>
        <v>86</v>
      </c>
      <c r="E44" s="10">
        <f>'Pivot &amp; Summary Analysis'!B12</f>
        <v>118</v>
      </c>
      <c r="F44" s="8" t="str">
        <f>'Pivot &amp; Summary Analysis'!A17</f>
        <v>Direct Website</v>
      </c>
      <c r="G44" s="9">
        <f>'Pivot &amp; Summary Analysis'!B17</f>
        <v>92</v>
      </c>
      <c r="H44" s="10">
        <f>'Pivot &amp; Summary Analysis'!C17</f>
        <v>204547</v>
      </c>
    </row>
    <row r="45" spans="1:8" x14ac:dyDescent="0.3">
      <c r="A45" s="8" t="str">
        <f>'Pivot &amp; Summary Analysis'!A6</f>
        <v>Executive Room</v>
      </c>
      <c r="B45" s="9">
        <f>'Pivot &amp; Summary Analysis'!B6</f>
        <v>110</v>
      </c>
      <c r="C45" s="10">
        <f>'Pivot &amp; Summary Analysis'!E6</f>
        <v>135014</v>
      </c>
      <c r="D45" s="10">
        <f>'Pivot &amp; Summary Analysis'!B11</f>
        <v>86</v>
      </c>
      <c r="E45" s="10">
        <f>'Pivot &amp; Summary Analysis'!B12</f>
        <v>118</v>
      </c>
      <c r="F45" s="8" t="str">
        <f>'Pivot &amp; Summary Analysis'!A18</f>
        <v>Booking.com</v>
      </c>
      <c r="G45" s="9">
        <f>'Pivot &amp; Summary Analysis'!B18</f>
        <v>72</v>
      </c>
      <c r="H45" s="10">
        <f>'Pivot &amp; Summary Analysis'!C18</f>
        <v>148566</v>
      </c>
    </row>
    <row r="46" spans="1:8" x14ac:dyDescent="0.3">
      <c r="A46" s="8" t="str">
        <f>'Pivot &amp; Summary Analysis'!A7</f>
        <v>Standard Room</v>
      </c>
      <c r="B46" s="9">
        <f>'Pivot &amp; Summary Analysis'!B7</f>
        <v>86</v>
      </c>
      <c r="C46" s="10">
        <f>'Pivot &amp; Summary Analysis'!E7</f>
        <v>62829</v>
      </c>
      <c r="D46" s="10">
        <f>'Pivot &amp; Summary Analysis'!B11</f>
        <v>86</v>
      </c>
      <c r="E46" s="10">
        <f>'Pivot &amp; Summary Analysis'!B12</f>
        <v>118</v>
      </c>
      <c r="F46" s="8" t="str">
        <f>'Pivot &amp; Summary Analysis'!A19</f>
        <v>Expedia</v>
      </c>
      <c r="G46" s="9">
        <f>'Pivot &amp; Summary Analysis'!B19</f>
        <v>87</v>
      </c>
      <c r="H46" s="10">
        <f>'Pivot &amp; Summary Analysis'!C19</f>
        <v>176350</v>
      </c>
    </row>
    <row r="47" spans="1:8" x14ac:dyDescent="0.3">
      <c r="A47" s="8" t="str">
        <f>'Pivot &amp; Summary Analysis'!A8</f>
        <v>Presidential Suite</v>
      </c>
      <c r="B47" s="9">
        <f>'Pivot &amp; Summary Analysis'!B8</f>
        <v>118</v>
      </c>
      <c r="C47" s="10">
        <f>'Pivot &amp; Summary Analysis'!E8</f>
        <v>404334</v>
      </c>
      <c r="D47" s="10">
        <f>'Pivot &amp; Summary Analysis'!B11</f>
        <v>86</v>
      </c>
      <c r="E47" s="10">
        <f>'Pivot &amp; Summary Analysis'!B12</f>
        <v>118</v>
      </c>
      <c r="F47" s="8" t="str">
        <f>'Pivot &amp; Summary Analysis'!A20</f>
        <v>Corporate Travel</v>
      </c>
      <c r="G47" s="9">
        <f>'Pivot &amp; Summary Analysis'!B20</f>
        <v>83</v>
      </c>
      <c r="H47" s="10">
        <f>'Pivot &amp; Summary Analysis'!C20</f>
        <v>149930</v>
      </c>
    </row>
    <row r="48" spans="1:8" x14ac:dyDescent="0.3">
      <c r="A48" s="8" t="str">
        <f>'Pivot &amp; Summary Analysis'!A9</f>
        <v>Family Villa</v>
      </c>
      <c r="B48" s="9">
        <f>'Pivot &amp; Summary Analysis'!B9</f>
        <v>99</v>
      </c>
      <c r="C48" s="10">
        <f>'Pivot &amp; Summary Analysis'!E9</f>
        <v>261667</v>
      </c>
      <c r="D48" s="10">
        <f>'Pivot &amp; Summary Analysis'!B11</f>
        <v>86</v>
      </c>
      <c r="E48" s="10">
        <f>'Pivot &amp; Summary Analysis'!B12</f>
        <v>118</v>
      </c>
      <c r="F48" s="8" t="str">
        <f>'Pivot &amp; Summary Analysis'!A21</f>
        <v>Walk-in</v>
      </c>
      <c r="G48" s="9">
        <f>'Pivot &amp; Summary Analysis'!B21</f>
        <v>74</v>
      </c>
      <c r="H48" s="10">
        <f>'Pivot &amp; Summary Analysis'!C21</f>
        <v>143581</v>
      </c>
    </row>
    <row r="49" spans="1:8" x14ac:dyDescent="0.3">
      <c r="A49" s="8"/>
      <c r="B49" s="8"/>
      <c r="C49" s="8"/>
      <c r="D49" s="8"/>
      <c r="E49" s="8"/>
      <c r="F49" s="8" t="str">
        <f>'Pivot &amp; Summary Analysis'!A22</f>
        <v>Agoda</v>
      </c>
      <c r="G49" s="9">
        <f>'Pivot &amp; Summary Analysis'!B22</f>
        <v>92</v>
      </c>
      <c r="H49" s="10">
        <f>'Pivot &amp; Summary Analysis'!C22</f>
        <v>187710</v>
      </c>
    </row>
  </sheetData>
  <mergeCells count="2">
    <mergeCell ref="A30:H41"/>
    <mergeCell ref="A1:H1"/>
  </mergeCells>
  <pageMargins left="0.75" right="0.75" top="1" bottom="1" header="0.5" footer="0.5"/>
  <drawing r:id="rId1"/>
  <tableParts count="1">
    <tablePart r:id="rId2"/>
  </tableParts>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21C333-FC4F-42C1-AB13-5BB2518BAB7C}">
  <dimension ref="A3:B12"/>
  <sheetViews>
    <sheetView workbookViewId="0">
      <selection activeCell="A8" sqref="A8"/>
    </sheetView>
  </sheetViews>
  <sheetFormatPr defaultRowHeight="14.4" x14ac:dyDescent="0.3"/>
  <cols>
    <col min="1" max="1" width="15" bestFit="1" customWidth="1"/>
    <col min="2" max="2" width="20" bestFit="1" customWidth="1"/>
  </cols>
  <sheetData>
    <row r="3" spans="1:2" x14ac:dyDescent="0.3">
      <c r="A3" s="18" t="s">
        <v>773</v>
      </c>
      <c r="B3" t="s">
        <v>782</v>
      </c>
    </row>
    <row r="4" spans="1:2" x14ac:dyDescent="0.3">
      <c r="A4" s="19" t="s">
        <v>23</v>
      </c>
      <c r="B4" s="27">
        <v>87</v>
      </c>
    </row>
    <row r="5" spans="1:2" x14ac:dyDescent="0.3">
      <c r="A5" s="19" t="s">
        <v>24</v>
      </c>
      <c r="B5" s="27">
        <v>110</v>
      </c>
    </row>
    <row r="6" spans="1:2" x14ac:dyDescent="0.3">
      <c r="A6" s="19" t="s">
        <v>27</v>
      </c>
      <c r="B6" s="27">
        <v>99</v>
      </c>
    </row>
    <row r="7" spans="1:2" x14ac:dyDescent="0.3">
      <c r="A7" s="19" t="s">
        <v>28</v>
      </c>
      <c r="B7" s="27">
        <v>500</v>
      </c>
    </row>
    <row r="8" spans="1:2" x14ac:dyDescent="0.3">
      <c r="A8" s="19" t="s">
        <v>30</v>
      </c>
      <c r="B8" s="27">
        <v>118</v>
      </c>
    </row>
    <row r="9" spans="1:2" x14ac:dyDescent="0.3">
      <c r="A9" s="19" t="s">
        <v>29</v>
      </c>
      <c r="B9" s="27">
        <v>86</v>
      </c>
    </row>
    <row r="10" spans="1:2" x14ac:dyDescent="0.3">
      <c r="A10" s="19" t="s">
        <v>26</v>
      </c>
      <c r="B10" s="27">
        <v>118</v>
      </c>
    </row>
    <row r="11" spans="1:2" x14ac:dyDescent="0.3">
      <c r="A11" s="19" t="s">
        <v>25</v>
      </c>
      <c r="B11" s="27">
        <v>86</v>
      </c>
    </row>
    <row r="12" spans="1:2" x14ac:dyDescent="0.3">
      <c r="A12" s="19" t="s">
        <v>28</v>
      </c>
      <c r="B12" s="27">
        <v>1204</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E4ECF2-8A0A-4D4F-B48E-93626575819F}">
  <dimension ref="A3:B9"/>
  <sheetViews>
    <sheetView workbookViewId="0">
      <selection activeCell="H5" sqref="H5"/>
    </sheetView>
  </sheetViews>
  <sheetFormatPr defaultRowHeight="14.4" x14ac:dyDescent="0.3"/>
  <cols>
    <col min="1" max="1" width="15" bestFit="1" customWidth="1"/>
    <col min="2" max="2" width="19.6640625" bestFit="1" customWidth="1"/>
    <col min="3" max="3" width="22.5546875" bestFit="1" customWidth="1"/>
    <col min="6" max="6" width="8.88671875" customWidth="1"/>
  </cols>
  <sheetData>
    <row r="3" spans="1:2" x14ac:dyDescent="0.3">
      <c r="A3" s="18" t="s">
        <v>773</v>
      </c>
      <c r="B3" t="s">
        <v>774</v>
      </c>
    </row>
    <row r="4" spans="1:2" x14ac:dyDescent="0.3">
      <c r="A4" s="19" t="s">
        <v>23</v>
      </c>
      <c r="B4" s="20">
        <v>2699</v>
      </c>
    </row>
    <row r="5" spans="1:2" x14ac:dyDescent="0.3">
      <c r="A5" s="19" t="s">
        <v>24</v>
      </c>
      <c r="B5" s="20">
        <v>3009</v>
      </c>
    </row>
    <row r="6" spans="1:2" x14ac:dyDescent="0.3">
      <c r="A6" s="19" t="s">
        <v>27</v>
      </c>
      <c r="B6" s="20">
        <v>4252</v>
      </c>
    </row>
    <row r="7" spans="1:2" x14ac:dyDescent="0.3">
      <c r="A7" s="19" t="s">
        <v>26</v>
      </c>
      <c r="B7" s="20">
        <v>5336</v>
      </c>
    </row>
    <row r="8" spans="1:2" x14ac:dyDescent="0.3">
      <c r="A8" s="19" t="s">
        <v>25</v>
      </c>
      <c r="B8" s="20">
        <v>1266</v>
      </c>
    </row>
    <row r="9" spans="1:2" x14ac:dyDescent="0.3">
      <c r="A9" s="19" t="s">
        <v>28</v>
      </c>
      <c r="B9" s="20">
        <v>16562</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B14DE4-8D32-4713-A906-24060FB0737D}">
  <dimension ref="A3:C10"/>
  <sheetViews>
    <sheetView workbookViewId="0">
      <selection activeCell="E22" sqref="E22"/>
    </sheetView>
  </sheetViews>
  <sheetFormatPr defaultRowHeight="14.4" x14ac:dyDescent="0.3"/>
  <cols>
    <col min="1" max="1" width="17.109375" bestFit="1" customWidth="1"/>
    <col min="2" max="2" width="19.6640625" bestFit="1" customWidth="1"/>
    <col min="3" max="3" width="12.77734375" bestFit="1" customWidth="1"/>
    <col min="4" max="4" width="22.5546875" bestFit="1" customWidth="1"/>
  </cols>
  <sheetData>
    <row r="3" spans="1:3" x14ac:dyDescent="0.3">
      <c r="A3" s="18" t="s">
        <v>773</v>
      </c>
      <c r="B3" t="s">
        <v>774</v>
      </c>
      <c r="C3" t="s">
        <v>775</v>
      </c>
    </row>
    <row r="4" spans="1:3" x14ac:dyDescent="0.3">
      <c r="A4" s="19" t="s">
        <v>39</v>
      </c>
      <c r="B4" s="20">
        <v>4375</v>
      </c>
      <c r="C4" s="26">
        <v>36</v>
      </c>
    </row>
    <row r="5" spans="1:3" x14ac:dyDescent="0.3">
      <c r="A5" s="19" t="s">
        <v>35</v>
      </c>
      <c r="B5" s="20">
        <v>1448</v>
      </c>
      <c r="C5" s="26">
        <v>9</v>
      </c>
    </row>
    <row r="6" spans="1:3" x14ac:dyDescent="0.3">
      <c r="A6" s="19" t="s">
        <v>37</v>
      </c>
      <c r="B6" s="20">
        <v>3488</v>
      </c>
      <c r="C6" s="26">
        <v>30</v>
      </c>
    </row>
    <row r="7" spans="1:3" x14ac:dyDescent="0.3">
      <c r="A7" s="19" t="s">
        <v>34</v>
      </c>
      <c r="B7" s="20">
        <v>2190</v>
      </c>
      <c r="C7" s="26">
        <v>21</v>
      </c>
    </row>
    <row r="8" spans="1:3" x14ac:dyDescent="0.3">
      <c r="A8" s="19" t="s">
        <v>36</v>
      </c>
      <c r="B8" s="20">
        <v>4203</v>
      </c>
      <c r="C8" s="26">
        <v>36</v>
      </c>
    </row>
    <row r="9" spans="1:3" x14ac:dyDescent="0.3">
      <c r="A9" s="19" t="s">
        <v>38</v>
      </c>
      <c r="B9" s="20">
        <v>858</v>
      </c>
      <c r="C9" s="26">
        <v>9</v>
      </c>
    </row>
    <row r="10" spans="1:3" x14ac:dyDescent="0.3">
      <c r="A10" s="19" t="s">
        <v>28</v>
      </c>
      <c r="B10" s="20">
        <v>16562</v>
      </c>
      <c r="C10" s="26">
        <v>141</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Bookings Data</vt:lpstr>
      <vt:lpstr>Pivot &amp; Summary Analysis</vt:lpstr>
      <vt:lpstr>Dashboard</vt:lpstr>
      <vt:lpstr>Sheet2</vt:lpstr>
      <vt:lpstr>Sheet1</vt:lpstr>
      <vt:lpstr>Sheet3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Sathish Raja</cp:lastModifiedBy>
  <dcterms:created xsi:type="dcterms:W3CDTF">2026-08-21T15:35:14Z</dcterms:created>
  <dcterms:modified xsi:type="dcterms:W3CDTF">2026-08-22T06:08:04Z</dcterms:modified>
</cp:coreProperties>
</file>